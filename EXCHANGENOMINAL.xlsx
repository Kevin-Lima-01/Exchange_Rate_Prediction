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updateLinks="always"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13_ncr:1_{BB590CF4-32AD-4E7A-B63C-0F4108EC9446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Dados" sheetId="1" r:id="rId1"/>
    <sheet name="FED" sheetId="6" r:id="rId2"/>
    <sheet name="Selic" sheetId="4" r:id="rId3"/>
    <sheet name="Modelo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4" l="1"/>
  <c r="C54" i="4"/>
  <c r="C55" i="4"/>
  <c r="C56" i="4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52" i="4"/>
  <c r="C33" i="4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32" i="4"/>
  <c r="M89" i="4"/>
  <c r="E89" i="4"/>
  <c r="M88" i="4"/>
  <c r="E88" i="4"/>
  <c r="M87" i="4"/>
  <c r="E87" i="4"/>
  <c r="M86" i="4"/>
  <c r="E86" i="4"/>
  <c r="M85" i="4"/>
  <c r="E85" i="4"/>
  <c r="M84" i="4"/>
  <c r="E84" i="4"/>
  <c r="M83" i="4"/>
  <c r="E83" i="4"/>
  <c r="M82" i="4"/>
  <c r="E82" i="4"/>
  <c r="M81" i="4"/>
  <c r="E81" i="4"/>
  <c r="M80" i="4"/>
  <c r="E80" i="4"/>
  <c r="M79" i="4"/>
  <c r="E79" i="4"/>
  <c r="M78" i="4"/>
  <c r="E78" i="4"/>
  <c r="M77" i="4"/>
  <c r="E77" i="4"/>
  <c r="M76" i="4"/>
  <c r="E76" i="4"/>
  <c r="M75" i="4"/>
  <c r="E75" i="4"/>
  <c r="M74" i="4"/>
  <c r="E74" i="4"/>
  <c r="M73" i="4"/>
  <c r="E73" i="4"/>
  <c r="M72" i="4"/>
  <c r="E72" i="4"/>
  <c r="M71" i="4"/>
  <c r="E71" i="4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M51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D73" i="6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72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71" i="6"/>
  <c r="E71" i="6"/>
  <c r="M51" i="6"/>
  <c r="B52" i="6"/>
  <c r="M31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2" i="6"/>
  <c r="B32" i="6"/>
  <c r="M33" i="4" l="1"/>
  <c r="M52" i="4"/>
  <c r="D52" i="4" s="1"/>
  <c r="M32" i="4"/>
  <c r="D32" i="4" s="1"/>
  <c r="M52" i="6"/>
  <c r="D52" i="6" s="1"/>
  <c r="B53" i="6"/>
  <c r="B33" i="6"/>
  <c r="M32" i="6"/>
  <c r="D32" i="6" s="1"/>
  <c r="D33" i="4" l="1"/>
  <c r="D34" i="4" s="1"/>
  <c r="M53" i="4"/>
  <c r="D53" i="4" s="1"/>
  <c r="M34" i="4"/>
  <c r="M53" i="6"/>
  <c r="D53" i="6" s="1"/>
  <c r="B54" i="6"/>
  <c r="B34" i="6"/>
  <c r="M33" i="6"/>
  <c r="D33" i="6" s="1"/>
  <c r="M35" i="4" l="1"/>
  <c r="D35" i="4" s="1"/>
  <c r="M54" i="4"/>
  <c r="D54" i="4" s="1"/>
  <c r="M54" i="6"/>
  <c r="B55" i="6"/>
  <c r="D54" i="6"/>
  <c r="B35" i="6"/>
  <c r="M34" i="6"/>
  <c r="D34" i="6" s="1"/>
  <c r="M36" i="4" l="1"/>
  <c r="D36" i="4" s="1"/>
  <c r="M55" i="4"/>
  <c r="D55" i="4" s="1"/>
  <c r="M55" i="6"/>
  <c r="D55" i="6" s="1"/>
  <c r="B56" i="6"/>
  <c r="B36" i="6"/>
  <c r="M35" i="6"/>
  <c r="D35" i="6" s="1"/>
  <c r="M56" i="4" l="1"/>
  <c r="D56" i="4" s="1"/>
  <c r="M37" i="4"/>
  <c r="D37" i="4" s="1"/>
  <c r="M56" i="6"/>
  <c r="B57" i="6"/>
  <c r="D56" i="6"/>
  <c r="B37" i="6"/>
  <c r="M36" i="6"/>
  <c r="D36" i="6" s="1"/>
  <c r="M57" i="4" l="1"/>
  <c r="D57" i="4" s="1"/>
  <c r="M38" i="4"/>
  <c r="D38" i="4" s="1"/>
  <c r="M57" i="6"/>
  <c r="D57" i="6" s="1"/>
  <c r="B58" i="6"/>
  <c r="B38" i="6"/>
  <c r="M37" i="6"/>
  <c r="D37" i="6" s="1"/>
  <c r="M39" i="4" l="1"/>
  <c r="D39" i="4" s="1"/>
  <c r="M58" i="4"/>
  <c r="D58" i="4" s="1"/>
  <c r="M58" i="6"/>
  <c r="B59" i="6"/>
  <c r="D58" i="6"/>
  <c r="B39" i="6"/>
  <c r="M38" i="6"/>
  <c r="D38" i="6" s="1"/>
  <c r="M59" i="4" l="1"/>
  <c r="D59" i="4" s="1"/>
  <c r="M40" i="4"/>
  <c r="D40" i="4" s="1"/>
  <c r="M59" i="6"/>
  <c r="D59" i="6" s="1"/>
  <c r="B60" i="6"/>
  <c r="B40" i="6"/>
  <c r="M39" i="6"/>
  <c r="D39" i="6" s="1"/>
  <c r="M60" i="4" l="1"/>
  <c r="D60" i="4" s="1"/>
  <c r="M41" i="4"/>
  <c r="D41" i="4"/>
  <c r="M60" i="6"/>
  <c r="B61" i="6"/>
  <c r="D60" i="6"/>
  <c r="B41" i="6"/>
  <c r="M40" i="6"/>
  <c r="D40" i="6" s="1"/>
  <c r="M42" i="4" l="1"/>
  <c r="D42" i="4" s="1"/>
  <c r="M61" i="4"/>
  <c r="D61" i="4" s="1"/>
  <c r="M61" i="6"/>
  <c r="D61" i="6" s="1"/>
  <c r="B62" i="6"/>
  <c r="B42" i="6"/>
  <c r="M41" i="6"/>
  <c r="D41" i="6" s="1"/>
  <c r="M62" i="4" l="1"/>
  <c r="D62" i="4" s="1"/>
  <c r="M43" i="4"/>
  <c r="D43" i="4" s="1"/>
  <c r="M62" i="6"/>
  <c r="B63" i="6"/>
  <c r="D62" i="6"/>
  <c r="B43" i="6"/>
  <c r="M42" i="6"/>
  <c r="D42" i="6" s="1"/>
  <c r="M44" i="4" l="1"/>
  <c r="D44" i="4" s="1"/>
  <c r="M63" i="4"/>
  <c r="D63" i="4" s="1"/>
  <c r="M63" i="6"/>
  <c r="D63" i="6" s="1"/>
  <c r="B64" i="6"/>
  <c r="B44" i="6"/>
  <c r="M43" i="6"/>
  <c r="D43" i="6" s="1"/>
  <c r="M45" i="4" l="1"/>
  <c r="D45" i="4" s="1"/>
  <c r="D64" i="4"/>
  <c r="M64" i="4"/>
  <c r="M64" i="6"/>
  <c r="B65" i="6"/>
  <c r="D64" i="6"/>
  <c r="B45" i="6"/>
  <c r="M44" i="6"/>
  <c r="D44" i="6" s="1"/>
  <c r="D65" i="4" l="1"/>
  <c r="M46" i="4"/>
  <c r="D46" i="4" s="1"/>
  <c r="M65" i="4"/>
  <c r="M65" i="6"/>
  <c r="D65" i="6" s="1"/>
  <c r="B66" i="6"/>
  <c r="B46" i="6"/>
  <c r="M45" i="6"/>
  <c r="D45" i="6" s="1"/>
  <c r="M47" i="4" l="1"/>
  <c r="D47" i="4" s="1"/>
  <c r="M66" i="4"/>
  <c r="D66" i="4" s="1"/>
  <c r="M66" i="6"/>
  <c r="B67" i="6"/>
  <c r="D66" i="6"/>
  <c r="B47" i="6"/>
  <c r="M46" i="6"/>
  <c r="D46" i="6" s="1"/>
  <c r="M49" i="4" l="1"/>
  <c r="M48" i="4"/>
  <c r="D48" i="4" s="1"/>
  <c r="M67" i="4"/>
  <c r="D67" i="4" s="1"/>
  <c r="M67" i="6"/>
  <c r="D67" i="6" s="1"/>
  <c r="B68" i="6"/>
  <c r="B48" i="6"/>
  <c r="M47" i="6"/>
  <c r="D47" i="6" s="1"/>
  <c r="D49" i="4" l="1"/>
  <c r="M69" i="4"/>
  <c r="M68" i="4"/>
  <c r="D68" i="4" s="1"/>
  <c r="M68" i="6"/>
  <c r="B69" i="6"/>
  <c r="M69" i="6" s="1"/>
  <c r="D68" i="6"/>
  <c r="D69" i="6" s="1"/>
  <c r="B49" i="6"/>
  <c r="M49" i="6" s="1"/>
  <c r="M48" i="6"/>
  <c r="D48" i="6" s="1"/>
  <c r="D49" i="6" s="1"/>
  <c r="D69" i="4" l="1"/>
</calcChain>
</file>

<file path=xl/sharedStrings.xml><?xml version="1.0" encoding="utf-8"?>
<sst xmlns="http://schemas.openxmlformats.org/spreadsheetml/2006/main" count="48" uniqueCount="25">
  <si>
    <t>observation_date</t>
  </si>
  <si>
    <t>FEDFUNDS</t>
  </si>
  <si>
    <t>SELIC</t>
  </si>
  <si>
    <t>CAMBIO</t>
  </si>
  <si>
    <t>CDS_5</t>
  </si>
  <si>
    <t>CRB</t>
  </si>
  <si>
    <t>DXY</t>
  </si>
  <si>
    <t>VIX</t>
  </si>
  <si>
    <t>IPCA</t>
  </si>
  <si>
    <t>CPI</t>
  </si>
  <si>
    <t>IGP-M</t>
  </si>
  <si>
    <t>swapreal360</t>
  </si>
  <si>
    <t>fixar</t>
  </si>
  <si>
    <t>INDINCERT</t>
  </si>
  <si>
    <t>dfi1</t>
  </si>
  <si>
    <t>Coeficientes</t>
  </si>
  <si>
    <t>d(log(crb))</t>
  </si>
  <si>
    <t>d(log(vix))</t>
  </si>
  <si>
    <t>d(log(cds))</t>
  </si>
  <si>
    <t>d(log(dxy))</t>
  </si>
  <si>
    <t xml:space="preserve">d(log(1 + fin)) </t>
  </si>
  <si>
    <t>d(log(selic))</t>
  </si>
  <si>
    <t>d(log(fed))</t>
  </si>
  <si>
    <t>dif1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</si>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</sst>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Calibri"/>
    </font>
    <font>
      <sz val="10"/>
      <color rgb="FF000000"/>
      <name val="Calibri"/>
    </font>
    <font>
      <sz val="10"/>
      <color rgb="FF000000"/>
      <name val="&quot;Aptos Narrow&quot;"/>
    </font>
    <font>
      <sz val="12"/>
      <color rgb="FF000000"/>
      <name val="Inherit"/>
      <charset val="1"/>
    </font>
    <font>
      <sz val="12"/>
      <color rgb="FF000000"/>
      <name val="Gg Sans"/>
      <charset val="1"/>
    </font>
    <font>
      <sz val="10"/>
      <name val="Arial"/>
    </font>
    <font>
      <sz val="11"/>
      <color rgb="FF000000"/>
      <name val="Aptos Narrow"/>
      <charset val="1"/>
    </font>
    <font>
      <sz val="9"/>
      <color rgb="FF000000"/>
      <name val="Tahoma"/>
      <charset val="1"/>
    </font>
    <font>
      <sz val="11"/>
      <color rgb="FF000000"/>
      <name val="Calibri"/>
      <charset val="1"/>
    </font>
    <font>
      <sz val="11"/>
      <color rgb="FF242424"/>
      <name val="Consolas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top"/>
    </xf>
    <xf numFmtId="9" fontId="2" fillId="0" borderId="0" xfId="0" applyNumberFormat="1" applyFont="1"/>
    <xf numFmtId="0" fontId="1" fillId="0" borderId="0" xfId="0" applyFont="1"/>
    <xf numFmtId="0" fontId="3" fillId="0" borderId="0" xfId="0" applyFont="1"/>
    <xf numFmtId="16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2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2" fontId="1" fillId="0" borderId="0" xfId="0" applyNumberFormat="1" applyFont="1"/>
    <xf numFmtId="0" fontId="5" fillId="0" borderId="0" xfId="0" applyFont="1"/>
    <xf numFmtId="0" fontId="2" fillId="0" borderId="0" xfId="0" applyFont="1"/>
    <xf numFmtId="9" fontId="1" fillId="0" borderId="0" xfId="0" applyNumberFormat="1" applyFont="1"/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0" fontId="0" fillId="2" borderId="0" xfId="0" applyFill="1" applyAlignment="1">
      <alignment wrapText="1"/>
    </xf>
    <xf numFmtId="0" fontId="0" fillId="2" borderId="0" xfId="0" applyFill="1"/>
    <xf numFmtId="2" fontId="0" fillId="0" borderId="0" xfId="0" applyNumberFormat="1"/>
    <xf numFmtId="0" fontId="9" fillId="0" borderId="1" xfId="0" applyFont="1" applyBorder="1" applyAlignment="1">
      <alignment readingOrder="1"/>
    </xf>
    <xf numFmtId="0" fontId="9" fillId="0" borderId="2" xfId="0" applyFont="1" applyBorder="1" applyAlignment="1">
      <alignment readingOrder="1"/>
    </xf>
    <xf numFmtId="0" fontId="9" fillId="0" borderId="3" xfId="0" applyFont="1" applyBorder="1" applyAlignment="1">
      <alignment readingOrder="1"/>
    </xf>
    <xf numFmtId="0" fontId="10" fillId="3" borderId="1" xfId="0" applyFont="1" applyFill="1" applyBorder="1" applyAlignment="1">
      <alignment wrapText="1" readingOrder="1"/>
    </xf>
    <xf numFmtId="0" fontId="10" fillId="3" borderId="2" xfId="0" applyFont="1" applyFill="1" applyBorder="1" applyAlignment="1">
      <alignment wrapText="1" readingOrder="1"/>
    </xf>
    <xf numFmtId="0" fontId="11" fillId="0" borderId="2" xfId="0" applyFont="1" applyBorder="1" applyAlignment="1">
      <alignment wrapText="1" readingOrder="1"/>
    </xf>
    <xf numFmtId="0" fontId="10" fillId="3" borderId="3" xfId="0" applyFont="1" applyFill="1" applyBorder="1" applyAlignment="1">
      <alignment wrapText="1" readingOrder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Variação do FED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FED!$A$31:$A$49</c:f>
              <c:numCache>
                <c:formatCode>yyyy\-mm\-dd</c:formatCode>
                <c:ptCount val="19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  <c:pt idx="13">
                  <c:v>46204</c:v>
                </c:pt>
                <c:pt idx="14">
                  <c:v>46235</c:v>
                </c:pt>
                <c:pt idx="15">
                  <c:v>46266</c:v>
                </c:pt>
                <c:pt idx="16">
                  <c:v>46296</c:v>
                </c:pt>
                <c:pt idx="17">
                  <c:v>46327</c:v>
                </c:pt>
                <c:pt idx="18">
                  <c:v>46357</c:v>
                </c:pt>
              </c:numCache>
            </c:numRef>
          </c:cat>
          <c:val>
            <c:numRef>
              <c:f> </c:f>
            </c:numRef>
          </c:val>
          <c:smooth val="0"/>
          <c:extLst>
            <c:ext xmlns:c16="http://schemas.microsoft.com/office/drawing/2014/chart" uri="{C3380CC4-5D6E-409C-BE32-E72D297353CC}">
              <c16:uniqueId val="{0000002B-5668-40A7-84EC-14879B831DC5}"/>
            </c:ext>
          </c:extLst>
        </c:ser>
        <c:ser>
          <c:idx val="0"/>
          <c:order val="1"/>
          <c:tx>
            <c:v>Aumento FED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FED!$A$31:$A$49</c:f>
              <c:numCache>
                <c:formatCode>yyyy\-mm\-dd</c:formatCode>
                <c:ptCount val="19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  <c:pt idx="13">
                  <c:v>46204</c:v>
                </c:pt>
                <c:pt idx="14">
                  <c:v>46235</c:v>
                </c:pt>
                <c:pt idx="15">
                  <c:v>46266</c:v>
                </c:pt>
                <c:pt idx="16">
                  <c:v>46296</c:v>
                </c:pt>
                <c:pt idx="17">
                  <c:v>46327</c:v>
                </c:pt>
                <c:pt idx="18">
                  <c:v>46357</c:v>
                </c:pt>
              </c:numCache>
            </c:numRef>
          </c:cat>
          <c:val>
            <c:numRef>
              <c:f>FED!$D$31:$D$49</c:f>
              <c:numCache>
                <c:formatCode>General</c:formatCode>
                <c:ptCount val="19"/>
                <c:pt idx="0">
                  <c:v>5.51</c:v>
                </c:pt>
                <c:pt idx="1">
                  <c:v>5.5812344750276299</c:v>
                </c:pt>
                <c:pt idx="2">
                  <c:v>5.6808291186383197</c:v>
                </c:pt>
                <c:pt idx="3">
                  <c:v>5.7826205296500133</c:v>
                </c:pt>
                <c:pt idx="4">
                  <c:v>5.8866757878503524</c:v>
                </c:pt>
                <c:pt idx="5">
                  <c:v>5.9930647592624213</c:v>
                </c:pt>
                <c:pt idx="6">
                  <c:v>6.1018602382742237</c:v>
                </c:pt>
                <c:pt idx="7">
                  <c:v>6.2131380980982271</c:v>
                </c:pt>
                <c:pt idx="8">
                  <c:v>6.3269774501096681</c:v>
                </c:pt>
                <c:pt idx="9">
                  <c:v>6.4434608126526633</c:v>
                </c:pt>
                <c:pt idx="10">
                  <c:v>6.5626742899467523</c:v>
                </c:pt>
                <c:pt idx="11">
                  <c:v>6.6847077617736765</c:v>
                </c:pt>
                <c:pt idx="12">
                  <c:v>6.8096550846752262</c:v>
                </c:pt>
                <c:pt idx="13">
                  <c:v>6.9376143054483217</c:v>
                </c:pt>
                <c:pt idx="14">
                  <c:v>7.0686878877833896</c:v>
                </c:pt>
                <c:pt idx="15">
                  <c:v>7.202982952957071</c:v>
                </c:pt>
                <c:pt idx="16">
                  <c:v>7.3406115355608117</c:v>
                </c:pt>
                <c:pt idx="17">
                  <c:v>7.481690855323369</c:v>
                </c:pt>
                <c:pt idx="18">
                  <c:v>7.6263436061684011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CD-48AB-AECF-9F0F6F13D60C}"/>
            </c:ext>
          </c:extLst>
        </c:ser>
        <c:ser>
          <c:idx val="2"/>
          <c:order val="2"/>
          <c:tx>
            <c:v>Redução FED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FED!$A$31:$A$49</c:f>
              <c:numCache>
                <c:formatCode>yyyy\-mm\-dd</c:formatCode>
                <c:ptCount val="19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  <c:pt idx="13">
                  <c:v>46204</c:v>
                </c:pt>
                <c:pt idx="14">
                  <c:v>46235</c:v>
                </c:pt>
                <c:pt idx="15">
                  <c:v>46266</c:v>
                </c:pt>
                <c:pt idx="16">
                  <c:v>46296</c:v>
                </c:pt>
                <c:pt idx="17">
                  <c:v>46327</c:v>
                </c:pt>
                <c:pt idx="18">
                  <c:v>46357</c:v>
                </c:pt>
              </c:numCache>
            </c:numRef>
          </c:cat>
          <c:val>
            <c:numRef>
              <c:f>FED!$D$51:$D$69</c:f>
              <c:numCache>
                <c:formatCode>General</c:formatCode>
                <c:ptCount val="19"/>
                <c:pt idx="0">
                  <c:v>5.51</c:v>
                </c:pt>
                <c:pt idx="1">
                  <c:v>5.5611155395792329</c:v>
                </c:pt>
                <c:pt idx="2">
                  <c:v>5.6399470386698871</c:v>
                </c:pt>
                <c:pt idx="3">
                  <c:v>5.7202868599346992</c:v>
                </c:pt>
                <c:pt idx="4">
                  <c:v>5.8021556530741263</c:v>
                </c:pt>
                <c:pt idx="5">
                  <c:v>5.8855745284197054</c:v>
                </c:pt>
                <c:pt idx="6">
                  <c:v>5.9705650598501725</c:v>
                </c:pt>
                <c:pt idx="7">
                  <c:v>6.0571492879772402</c:v>
                </c:pt>
                <c:pt idx="8">
                  <c:v>6.1453497235935624</c:v>
                </c:pt>
                <c:pt idx="9">
                  <c:v>6.2351893513760794</c:v>
                </c:pt>
                <c:pt idx="10">
                  <c:v>6.3266916338384132</c:v>
                </c:pt>
                <c:pt idx="11">
                  <c:v>6.4198805155265397</c:v>
                </c:pt>
                <c:pt idx="12">
                  <c:v>6.5147804274524299</c:v>
                </c:pt>
                <c:pt idx="13">
                  <c:v>6.6114162917608015</c:v>
                </c:pt>
                <c:pt idx="14">
                  <c:v>6.7098135266245471</c:v>
                </c:pt>
                <c:pt idx="15">
                  <c:v>6.8099980513648122</c:v>
                </c:pt>
                <c:pt idx="16">
                  <c:v>6.9119962917920716</c:v>
                </c:pt>
                <c:pt idx="17">
                  <c:v>7.0158351857648951</c:v>
                </c:pt>
                <c:pt idx="18">
                  <c:v>7.1215421889634483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CD-48AB-AECF-9F0F6F13D60C}"/>
            </c:ext>
          </c:extLst>
        </c:ser>
        <c:ser>
          <c:idx val="3"/>
          <c:order val="3"/>
          <c:tx>
            <c:v>Nenhum efeito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FED!$A$31:$A$49</c:f>
              <c:numCache>
                <c:formatCode>yyyy\-mm\-dd</c:formatCode>
                <c:ptCount val="19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  <c:pt idx="13">
                  <c:v>46204</c:v>
                </c:pt>
                <c:pt idx="14">
                  <c:v>46235</c:v>
                </c:pt>
                <c:pt idx="15">
                  <c:v>46266</c:v>
                </c:pt>
                <c:pt idx="16">
                  <c:v>46296</c:v>
                </c:pt>
                <c:pt idx="17">
                  <c:v>46327</c:v>
                </c:pt>
                <c:pt idx="18">
                  <c:v>46357</c:v>
                </c:pt>
              </c:numCache>
            </c:numRef>
          </c:cat>
          <c:val>
            <c:numRef>
              <c:f>FED!$D$71:$D$89</c:f>
              <c:numCache>
                <c:formatCode>General</c:formatCode>
                <c:ptCount val="19"/>
                <c:pt idx="0">
                  <c:v>5.51</c:v>
                </c:pt>
                <c:pt idx="1">
                  <c:v>5.5977661880195555</c:v>
                </c:pt>
                <c:pt idx="2">
                  <c:v>5.6869303622023564</c:v>
                </c:pt>
                <c:pt idx="3">
                  <c:v>5.7775147904098283</c:v>
                </c:pt>
                <c:pt idx="4">
                  <c:v>5.8695420951976454</c:v>
                </c:pt>
                <c:pt idx="5">
                  <c:v>5.9630352594654878</c:v>
                </c:pt>
                <c:pt idx="6">
                  <c:v>6.0580176321967922</c:v>
                </c:pt>
                <c:pt idx="7">
                  <c:v>6.1545129342899259</c:v>
                </c:pt>
                <c:pt idx="8">
                  <c:v>6.2525452644822446</c:v>
                </c:pt>
                <c:pt idx="9">
                  <c:v>6.3521391053685115</c:v>
                </c:pt>
                <c:pt idx="10">
                  <c:v>6.4533193295151801</c:v>
                </c:pt>
                <c:pt idx="11">
                  <c:v>6.5561112056720692</c:v>
                </c:pt>
                <c:pt idx="12">
                  <c:v>6.6605404050829824</c:v>
                </c:pt>
                <c:pt idx="13">
                  <c:v>6.7666330078968402</c:v>
                </c:pt>
                <c:pt idx="14">
                  <c:v>6.8744155096809427</c:v>
                </c:pt>
                <c:pt idx="15">
                  <c:v>6.9839148280379675</c:v>
                </c:pt>
                <c:pt idx="16">
                  <c:v>7.0951583093283741</c:v>
                </c:pt>
                <c:pt idx="17">
                  <c:v>7.2081737354998854</c:v>
                </c:pt>
                <c:pt idx="18">
                  <c:v>7.3229893310257488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CD-48AB-AECF-9F0F6F13D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527225864"/>
        <c:axId val="1541960712"/>
      </c:lineChart>
      <c:dateAx>
        <c:axId val="1527225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960712"/>
        <c:crosses val="autoZero"/>
        <c:auto val="1"/>
        <c:lblOffset val="100"/>
        <c:baseTimeUnit val="months"/>
      </c:dateAx>
      <c:valAx>
        <c:axId val="1541960712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Cambio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225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Variação Selic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FED!$A$31:$A$49</c:f>
              <c:numCache>
                <c:formatCode>yyyy\-mm\-dd</c:formatCode>
                <c:ptCount val="19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  <c:pt idx="13">
                  <c:v>46204</c:v>
                </c:pt>
                <c:pt idx="14">
                  <c:v>46235</c:v>
                </c:pt>
                <c:pt idx="15">
                  <c:v>46266</c:v>
                </c:pt>
                <c:pt idx="16">
                  <c:v>46296</c:v>
                </c:pt>
                <c:pt idx="17">
                  <c:v>46327</c:v>
                </c:pt>
                <c:pt idx="18">
                  <c:v>46357</c:v>
                </c:pt>
              </c:numCache>
            </c:numRef>
          </c:cat>
          <c:val>
            <c:numRef>
              <c:f> </c:f>
            </c:numRef>
          </c:val>
          <c:smooth val="0"/>
          <c:extLst>
            <c:ext xmlns:c16="http://schemas.microsoft.com/office/drawing/2014/chart" uri="{C3380CC4-5D6E-409C-BE32-E72D297353CC}">
              <c16:uniqueId val="{00000000-538C-4782-BE33-715FE0A4DC10}"/>
            </c:ext>
          </c:extLst>
        </c:ser>
        <c:ser>
          <c:idx val="0"/>
          <c:order val="1"/>
          <c:tx>
            <c:v>Aumento SELIC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FED!$A$31:$A$49</c:f>
              <c:numCache>
                <c:formatCode>yyyy\-mm\-dd</c:formatCode>
                <c:ptCount val="19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  <c:pt idx="13">
                  <c:v>46204</c:v>
                </c:pt>
                <c:pt idx="14">
                  <c:v>46235</c:v>
                </c:pt>
                <c:pt idx="15">
                  <c:v>46266</c:v>
                </c:pt>
                <c:pt idx="16">
                  <c:v>46296</c:v>
                </c:pt>
                <c:pt idx="17">
                  <c:v>46327</c:v>
                </c:pt>
                <c:pt idx="18">
                  <c:v>46357</c:v>
                </c:pt>
              </c:numCache>
            </c:numRef>
          </c:cat>
          <c:val>
            <c:numRef>
              <c:f>Selic!$D$31:$D$49</c:f>
              <c:numCache>
                <c:formatCode>General</c:formatCode>
                <c:ptCount val="19"/>
                <c:pt idx="0">
                  <c:v>5.51</c:v>
                </c:pt>
                <c:pt idx="1">
                  <c:v>5.5149873904658371</c:v>
                </c:pt>
                <c:pt idx="2">
                  <c:v>5.5450504544917383</c:v>
                </c:pt>
                <c:pt idx="3">
                  <c:v>5.5739005287177221</c:v>
                </c:pt>
                <c:pt idx="4">
                  <c:v>5.6014755100388323</c:v>
                </c:pt>
                <c:pt idx="5">
                  <c:v>5.6277120764804405</c:v>
                </c:pt>
                <c:pt idx="6">
                  <c:v>5.6525457444838612</c:v>
                </c:pt>
                <c:pt idx="7">
                  <c:v>5.6759109339931744</c:v>
                </c:pt>
                <c:pt idx="8">
                  <c:v>5.6977410417850276</c:v>
                </c:pt>
                <c:pt idx="9">
                  <c:v>5.7179685234868352</c:v>
                </c:pt>
                <c:pt idx="10">
                  <c:v>5.736524984730095</c:v>
                </c:pt>
                <c:pt idx="11">
                  <c:v>5.7533412818840777</c:v>
                </c:pt>
                <c:pt idx="12">
                  <c:v>5.7683476328106362</c:v>
                </c:pt>
                <c:pt idx="13">
                  <c:v>5.7814737380729238</c:v>
                </c:pt>
                <c:pt idx="14">
                  <c:v>5.7926489130190433</c:v>
                </c:pt>
                <c:pt idx="15">
                  <c:v>5.8018022311456221</c:v>
                </c:pt>
                <c:pt idx="16">
                  <c:v>5.8088626791256521</c:v>
                </c:pt>
                <c:pt idx="17">
                  <c:v>5.8137593238591663</c:v>
                </c:pt>
                <c:pt idx="18">
                  <c:v>5.8164214918739656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8C-4782-BE33-715FE0A4DC10}"/>
            </c:ext>
          </c:extLst>
        </c:ser>
        <c:ser>
          <c:idx val="2"/>
          <c:order val="2"/>
          <c:tx>
            <c:v>Redução SELIC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FED!$A$31:$A$49</c:f>
              <c:numCache>
                <c:formatCode>yyyy\-mm\-dd</c:formatCode>
                <c:ptCount val="19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  <c:pt idx="13">
                  <c:v>46204</c:v>
                </c:pt>
                <c:pt idx="14">
                  <c:v>46235</c:v>
                </c:pt>
                <c:pt idx="15">
                  <c:v>46266</c:v>
                </c:pt>
                <c:pt idx="16">
                  <c:v>46296</c:v>
                </c:pt>
                <c:pt idx="17">
                  <c:v>46327</c:v>
                </c:pt>
                <c:pt idx="18">
                  <c:v>46357</c:v>
                </c:pt>
              </c:numCache>
            </c:numRef>
          </c:cat>
          <c:val>
            <c:numRef>
              <c:f>Selic!$D$51:$D$69</c:f>
              <c:numCache>
                <c:formatCode>General</c:formatCode>
                <c:ptCount val="19"/>
                <c:pt idx="0">
                  <c:v>5.51</c:v>
                </c:pt>
                <c:pt idx="1">
                  <c:v>5.6281909131015349</c:v>
                </c:pt>
                <c:pt idx="2">
                  <c:v>5.7750280217656131</c:v>
                </c:pt>
                <c:pt idx="3">
                  <c:v>5.9243178777659269</c:v>
                </c:pt>
                <c:pt idx="4">
                  <c:v>6.0760959463474027</c:v>
                </c:pt>
                <c:pt idx="5">
                  <c:v>6.2303987868668438</c:v>
                </c:pt>
                <c:pt idx="6">
                  <c:v>6.3872640624032426</c:v>
                </c:pt>
                <c:pt idx="7">
                  <c:v>6.5467305493362158</c:v>
                </c:pt>
                <c:pt idx="8">
                  <c:v>6.7088381469338563</c:v>
                </c:pt>
                <c:pt idx="9">
                  <c:v>6.8736278869891452</c:v>
                </c:pt>
                <c:pt idx="10">
                  <c:v>7.0411419435418807</c:v>
                </c:pt>
                <c:pt idx="11">
                  <c:v>7.2114236427211305</c:v>
                </c:pt>
                <c:pt idx="12">
                  <c:v>7.384517472741174</c:v>
                </c:pt>
                <c:pt idx="13">
                  <c:v>7.5604690940820864</c:v>
                </c:pt>
                <c:pt idx="14">
                  <c:v>7.7393253498842665</c:v>
                </c:pt>
                <c:pt idx="15">
                  <c:v>7.9211342765845778</c:v>
                </c:pt>
                <c:pt idx="16">
                  <c:v>8.1059451148200594</c:v>
                </c:pt>
                <c:pt idx="17">
                  <c:v>8.2938083206236879</c:v>
                </c:pt>
                <c:pt idx="18">
                  <c:v>8.4847755769352009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8C-4782-BE33-715FE0A4DC10}"/>
            </c:ext>
          </c:extLst>
        </c:ser>
        <c:ser>
          <c:idx val="3"/>
          <c:order val="3"/>
          <c:tx>
            <c:v>Nenhum efeito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FED!$A$31:$A$49</c:f>
              <c:numCache>
                <c:formatCode>yyyy\-mm\-dd</c:formatCode>
                <c:ptCount val="19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  <c:pt idx="13">
                  <c:v>46204</c:v>
                </c:pt>
                <c:pt idx="14">
                  <c:v>46235</c:v>
                </c:pt>
                <c:pt idx="15">
                  <c:v>46266</c:v>
                </c:pt>
                <c:pt idx="16">
                  <c:v>46296</c:v>
                </c:pt>
                <c:pt idx="17">
                  <c:v>46327</c:v>
                </c:pt>
                <c:pt idx="18">
                  <c:v>46357</c:v>
                </c:pt>
              </c:numCache>
            </c:numRef>
          </c:cat>
          <c:val>
            <c:numRef>
              <c:f>FED!$D$71:$D$89</c:f>
              <c:numCache>
                <c:formatCode>General</c:formatCode>
                <c:ptCount val="19"/>
                <c:pt idx="0">
                  <c:v>5.51</c:v>
                </c:pt>
                <c:pt idx="1">
                  <c:v>5.5977661880195555</c:v>
                </c:pt>
                <c:pt idx="2">
                  <c:v>5.6869303622023564</c:v>
                </c:pt>
                <c:pt idx="3">
                  <c:v>5.7775147904098283</c:v>
                </c:pt>
                <c:pt idx="4">
                  <c:v>5.8695420951976454</c:v>
                </c:pt>
                <c:pt idx="5">
                  <c:v>5.9630352594654878</c:v>
                </c:pt>
                <c:pt idx="6">
                  <c:v>6.0580176321967922</c:v>
                </c:pt>
                <c:pt idx="7">
                  <c:v>6.1545129342899259</c:v>
                </c:pt>
                <c:pt idx="8">
                  <c:v>6.2525452644822446</c:v>
                </c:pt>
                <c:pt idx="9">
                  <c:v>6.3521391053685115</c:v>
                </c:pt>
                <c:pt idx="10">
                  <c:v>6.4533193295151801</c:v>
                </c:pt>
                <c:pt idx="11">
                  <c:v>6.5561112056720692</c:v>
                </c:pt>
                <c:pt idx="12">
                  <c:v>6.6605404050829824</c:v>
                </c:pt>
                <c:pt idx="13">
                  <c:v>6.7666330078968402</c:v>
                </c:pt>
                <c:pt idx="14">
                  <c:v>6.8744155096809427</c:v>
                </c:pt>
                <c:pt idx="15">
                  <c:v>6.9839148280379675</c:v>
                </c:pt>
                <c:pt idx="16">
                  <c:v>7.0951583093283741</c:v>
                </c:pt>
                <c:pt idx="17">
                  <c:v>7.2081737354998854</c:v>
                </c:pt>
                <c:pt idx="18">
                  <c:v>7.3229893310257488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8C-4782-BE33-715FE0A4D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527225864"/>
        <c:axId val="1541960712"/>
      </c:lineChart>
      <c:dateAx>
        <c:axId val="1527225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960712"/>
        <c:crosses val="autoZero"/>
        <c:auto val="1"/>
        <c:lblOffset val="100"/>
        <c:baseTimeUnit val="months"/>
      </c:dateAx>
      <c:valAx>
        <c:axId val="1541960712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Cmabio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225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292100</xdr:colOff>
      <xdr:row>52</xdr:row>
      <xdr:rowOff>104775</xdr:rowOff>
    </xdr:from>
    <xdr:to>
      <xdr:col>26</xdr:col>
      <xdr:colOff>504825</xdr:colOff>
      <xdr:row>71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1F5163-AA8B-4E74-A741-01DF70AD5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292100</xdr:colOff>
      <xdr:row>52</xdr:row>
      <xdr:rowOff>104775</xdr:rowOff>
    </xdr:from>
    <xdr:to>
      <xdr:col>26</xdr:col>
      <xdr:colOff>504825</xdr:colOff>
      <xdr:row>71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02479B-3FA5-46C9-AE19-672A682C1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0</xdr:rowOff>
    </xdr:from>
    <xdr:to>
      <xdr:col>11</xdr:col>
      <xdr:colOff>581025</xdr:colOff>
      <xdr:row>27</xdr:row>
      <xdr:rowOff>85725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457C77F-74D9-1C72-CDAC-8B7969046487}"/>
            </a:ext>
            <a:ext uri="{147F2762-F138-4A5C-976F-8EAC2B608ADB}">
              <a16:predDERef xmlns:a16="http://schemas.microsoft.com/office/drawing/2014/main" pred="{8C286147-65D1-28FE-5E30-5CBA37D4C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1050" y="0"/>
          <a:ext cx="4562475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288" sqref="E288"/>
    </sheetView>
  </sheetViews>
  <sheetFormatPr defaultColWidth="12.54296875" defaultRowHeight="15.75" customHeight="1"/>
  <cols>
    <col min="1" max="1" width="16.453125" style="3" customWidth="1"/>
    <col min="3" max="3" width="14.1796875" customWidth="1"/>
    <col min="4" max="10" width="12.54296875" style="3"/>
    <col min="12" max="25" width="12.54296875" style="3"/>
  </cols>
  <sheetData>
    <row r="1" spans="1:12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12" ht="15.75" customHeight="1">
      <c r="A2" s="5">
        <v>37257</v>
      </c>
      <c r="B2" s="6">
        <v>1.73</v>
      </c>
      <c r="C2" s="23">
        <v>19.05</v>
      </c>
      <c r="D2" s="8">
        <v>2.4180000000000001</v>
      </c>
      <c r="E2" s="8">
        <v>812.39</v>
      </c>
      <c r="F2" s="8">
        <v>212.32</v>
      </c>
      <c r="G2" s="8">
        <v>120.21</v>
      </c>
      <c r="H2" s="8">
        <v>21.09</v>
      </c>
      <c r="I2" s="7">
        <v>4.76</v>
      </c>
      <c r="J2" s="9">
        <v>3.5575000000000001</v>
      </c>
      <c r="K2" s="10">
        <v>0.36</v>
      </c>
      <c r="L2" s="11">
        <v>0</v>
      </c>
    </row>
    <row r="3" spans="1:12" ht="15.75" customHeight="1">
      <c r="A3" s="5">
        <v>37288</v>
      </c>
      <c r="B3" s="6">
        <v>1.74</v>
      </c>
      <c r="C3" s="24">
        <v>18.97</v>
      </c>
      <c r="D3" s="8">
        <v>2.3479999999999999</v>
      </c>
      <c r="E3" s="8">
        <v>829.44</v>
      </c>
      <c r="F3" s="8">
        <v>215.88</v>
      </c>
      <c r="G3" s="8">
        <v>119.16</v>
      </c>
      <c r="H3" s="8">
        <v>21.59</v>
      </c>
      <c r="I3" s="7">
        <v>4.7</v>
      </c>
      <c r="J3" s="9">
        <v>3.5274000000000001</v>
      </c>
      <c r="K3" s="10">
        <v>0.06</v>
      </c>
      <c r="L3" s="11">
        <v>0</v>
      </c>
    </row>
    <row r="4" spans="1:12" ht="15.75" customHeight="1">
      <c r="A4" s="5">
        <v>37316</v>
      </c>
      <c r="B4" s="6">
        <v>1.73</v>
      </c>
      <c r="C4" s="24">
        <v>18.72</v>
      </c>
      <c r="D4" s="8">
        <v>2.3239999999999998</v>
      </c>
      <c r="E4" s="8">
        <v>739.36</v>
      </c>
      <c r="F4" s="8">
        <v>219.64</v>
      </c>
      <c r="G4" s="8">
        <v>118.62</v>
      </c>
      <c r="H4" s="8">
        <v>17.399999999999999</v>
      </c>
      <c r="I4" s="7">
        <v>4.9400000000000004</v>
      </c>
      <c r="J4" s="9">
        <v>3.4685000000000001</v>
      </c>
      <c r="K4" s="10">
        <v>0.09</v>
      </c>
      <c r="L4" s="11">
        <v>0</v>
      </c>
    </row>
    <row r="5" spans="1:12" ht="15.75" customHeight="1">
      <c r="A5" s="5">
        <v>37347</v>
      </c>
      <c r="B5" s="6">
        <v>1.75</v>
      </c>
      <c r="C5" s="24">
        <v>18.38</v>
      </c>
      <c r="D5" s="8">
        <v>2.363</v>
      </c>
      <c r="E5" s="8">
        <v>753.11</v>
      </c>
      <c r="F5" s="8">
        <v>212.94</v>
      </c>
      <c r="G5" s="8">
        <v>115.19</v>
      </c>
      <c r="H5" s="8">
        <v>21.91</v>
      </c>
      <c r="I5" s="7">
        <v>4.9000000000000004</v>
      </c>
      <c r="J5" s="9">
        <v>3.4658000000000002</v>
      </c>
      <c r="K5" s="10">
        <v>0.56000000000000005</v>
      </c>
      <c r="L5" s="11">
        <v>0</v>
      </c>
    </row>
    <row r="6" spans="1:12" ht="15.75" customHeight="1">
      <c r="A6" s="5">
        <v>37377</v>
      </c>
      <c r="B6" s="6">
        <v>1.75</v>
      </c>
      <c r="C6" s="24">
        <v>18.37</v>
      </c>
      <c r="D6" s="8">
        <v>2.5219999999999998</v>
      </c>
      <c r="E6" s="8">
        <v>996.21</v>
      </c>
      <c r="F6" s="8">
        <v>221.95</v>
      </c>
      <c r="G6" s="8">
        <v>111.81</v>
      </c>
      <c r="H6" s="8">
        <v>19.98</v>
      </c>
      <c r="I6" s="7">
        <v>4.37</v>
      </c>
      <c r="J6" s="9">
        <v>3.4521000000000002</v>
      </c>
      <c r="K6" s="10">
        <v>0.83</v>
      </c>
      <c r="L6" s="11">
        <v>0</v>
      </c>
    </row>
    <row r="7" spans="1:12" ht="15.75" customHeight="1">
      <c r="A7" s="5">
        <v>37408</v>
      </c>
      <c r="B7" s="6">
        <v>1.75</v>
      </c>
      <c r="C7" s="24">
        <v>18.100000000000001</v>
      </c>
      <c r="D7" s="8">
        <v>2.8439999999999999</v>
      </c>
      <c r="E7" s="8">
        <v>1647.44</v>
      </c>
      <c r="F7" s="8">
        <v>232.95</v>
      </c>
      <c r="G7" s="8">
        <v>106.11</v>
      </c>
      <c r="H7" s="8">
        <v>25.4</v>
      </c>
      <c r="I7" s="7">
        <v>4.57</v>
      </c>
      <c r="J7" s="9">
        <v>3.2416999999999998</v>
      </c>
      <c r="K7" s="10">
        <v>1.54</v>
      </c>
      <c r="L7" s="11">
        <v>0.17066000000000001</v>
      </c>
    </row>
    <row r="8" spans="1:12" ht="15.75" customHeight="1">
      <c r="A8" s="5">
        <v>37438</v>
      </c>
      <c r="B8" s="6">
        <v>1.73</v>
      </c>
      <c r="C8" s="24">
        <v>18.170000000000002</v>
      </c>
      <c r="D8" s="8">
        <v>3.4289999999999998</v>
      </c>
      <c r="E8" s="8">
        <v>2436.3000000000002</v>
      </c>
      <c r="F8" s="8">
        <v>234.1</v>
      </c>
      <c r="G8" s="8">
        <v>107.41</v>
      </c>
      <c r="H8" s="8">
        <v>32.03</v>
      </c>
      <c r="I8" s="7">
        <v>5.08</v>
      </c>
      <c r="J8" s="9">
        <v>3.2637</v>
      </c>
      <c r="K8" s="10">
        <v>1.95</v>
      </c>
      <c r="L8" s="11">
        <v>0.166183</v>
      </c>
    </row>
    <row r="9" spans="1:12" ht="15.75" customHeight="1">
      <c r="A9" s="5">
        <v>37469</v>
      </c>
      <c r="B9" s="6">
        <v>1.74</v>
      </c>
      <c r="C9" s="24">
        <v>17.84</v>
      </c>
      <c r="D9" s="8">
        <v>3.0219999999999998</v>
      </c>
      <c r="E9" s="8">
        <v>2965.8</v>
      </c>
      <c r="F9" s="8">
        <v>233.22</v>
      </c>
      <c r="G9" s="8">
        <v>106.98</v>
      </c>
      <c r="H9" s="8">
        <v>32.64</v>
      </c>
      <c r="I9" s="7">
        <v>5.4</v>
      </c>
      <c r="J9" s="9">
        <v>3.1465999999999998</v>
      </c>
      <c r="K9" s="10">
        <v>2.3199999999999998</v>
      </c>
      <c r="L9" s="11">
        <v>0.15820699999999999</v>
      </c>
    </row>
    <row r="10" spans="1:12" ht="15.75" customHeight="1">
      <c r="A10" s="5">
        <v>37500</v>
      </c>
      <c r="B10" s="6">
        <v>1.75</v>
      </c>
      <c r="C10" s="24">
        <v>17.89</v>
      </c>
      <c r="D10" s="8">
        <v>3.895</v>
      </c>
      <c r="E10" s="8">
        <v>3139.83</v>
      </c>
      <c r="F10" s="8">
        <v>237.21</v>
      </c>
      <c r="G10" s="8">
        <v>106.87</v>
      </c>
      <c r="H10" s="8">
        <v>39.69</v>
      </c>
      <c r="I10" s="7">
        <v>6.28</v>
      </c>
      <c r="J10" s="9">
        <v>3.0266000000000002</v>
      </c>
      <c r="K10" s="10">
        <v>2.4</v>
      </c>
      <c r="L10" s="11">
        <v>0.17258499999999999</v>
      </c>
    </row>
    <row r="11" spans="1:12" ht="15.75" customHeight="1">
      <c r="A11" s="5">
        <v>37530</v>
      </c>
      <c r="B11" s="6">
        <v>1.75</v>
      </c>
      <c r="C11" s="24">
        <v>19.59</v>
      </c>
      <c r="D11" s="8">
        <v>3.645</v>
      </c>
      <c r="E11" s="8">
        <v>3560.83</v>
      </c>
      <c r="F11" s="8">
        <v>236.36</v>
      </c>
      <c r="G11" s="8">
        <v>106.64</v>
      </c>
      <c r="H11" s="8">
        <v>31.14</v>
      </c>
      <c r="I11" s="7">
        <v>8.94</v>
      </c>
      <c r="J11" s="9">
        <v>2.9371999999999998</v>
      </c>
      <c r="K11" s="10">
        <v>3.87</v>
      </c>
      <c r="L11" s="11">
        <v>0.174265</v>
      </c>
    </row>
    <row r="12" spans="1:12" ht="15.75" customHeight="1">
      <c r="A12" s="5">
        <v>37561</v>
      </c>
      <c r="B12" s="6">
        <v>1.34</v>
      </c>
      <c r="C12" s="24">
        <v>21.25</v>
      </c>
      <c r="D12" s="8">
        <v>3.637</v>
      </c>
      <c r="E12" s="8">
        <v>2840.95</v>
      </c>
      <c r="F12" s="8">
        <v>241.33</v>
      </c>
      <c r="G12" s="8">
        <v>106.38</v>
      </c>
      <c r="H12" s="8">
        <v>27.5</v>
      </c>
      <c r="I12" s="7">
        <v>12.47</v>
      </c>
      <c r="J12" s="9">
        <v>2.8243</v>
      </c>
      <c r="K12" s="10">
        <v>5.19</v>
      </c>
      <c r="L12" s="11">
        <v>0.15021599999999999</v>
      </c>
    </row>
    <row r="13" spans="1:12" ht="15.75" customHeight="1">
      <c r="A13" s="5">
        <v>37591</v>
      </c>
      <c r="B13" s="6">
        <v>1.24</v>
      </c>
      <c r="C13" s="24">
        <v>23.03</v>
      </c>
      <c r="D13" s="8">
        <v>3.5329999999999999</v>
      </c>
      <c r="E13" s="8">
        <v>2471.14</v>
      </c>
      <c r="F13" s="8">
        <v>244.31</v>
      </c>
      <c r="G13" s="8">
        <v>101.85</v>
      </c>
      <c r="H13" s="8">
        <v>28.62</v>
      </c>
      <c r="I13" s="7">
        <v>13.24</v>
      </c>
      <c r="J13" s="9">
        <v>2.7921999999999998</v>
      </c>
      <c r="K13" s="10">
        <v>3.75</v>
      </c>
      <c r="L13" s="11">
        <v>0.12063699999999999</v>
      </c>
    </row>
    <row r="14" spans="1:12" ht="15.75" customHeight="1">
      <c r="A14" s="5">
        <v>37622</v>
      </c>
      <c r="B14" s="6">
        <v>1.24</v>
      </c>
      <c r="C14" s="24">
        <v>25.06</v>
      </c>
      <c r="D14" s="8">
        <v>3.5259999999999998</v>
      </c>
      <c r="E14" s="8">
        <v>1870.02</v>
      </c>
      <c r="F14" s="8">
        <v>250.14</v>
      </c>
      <c r="G14" s="8">
        <v>99.91</v>
      </c>
      <c r="H14" s="8">
        <v>31.17</v>
      </c>
      <c r="I14" s="7">
        <v>11.72</v>
      </c>
      <c r="J14" s="9">
        <v>2.7782</v>
      </c>
      <c r="K14" s="10">
        <v>2.33</v>
      </c>
      <c r="L14" s="11">
        <v>0.14121400000000001</v>
      </c>
    </row>
    <row r="15" spans="1:12" ht="15.75" customHeight="1">
      <c r="A15" s="5">
        <v>37653</v>
      </c>
      <c r="B15" s="6">
        <v>1.26</v>
      </c>
      <c r="C15" s="24">
        <v>25.68</v>
      </c>
      <c r="D15" s="8">
        <v>3.5630000000000002</v>
      </c>
      <c r="E15" s="8">
        <v>1750.04</v>
      </c>
      <c r="F15" s="8">
        <v>250.13</v>
      </c>
      <c r="G15" s="8">
        <v>99.71</v>
      </c>
      <c r="H15" s="8">
        <v>29.63</v>
      </c>
      <c r="I15" s="7">
        <v>11.07</v>
      </c>
      <c r="J15" s="9">
        <v>2.6956000000000002</v>
      </c>
      <c r="K15" s="10">
        <v>2.2799999999999998</v>
      </c>
      <c r="L15" s="11">
        <v>0.13970399999999999</v>
      </c>
    </row>
    <row r="16" spans="1:12" ht="15.75" customHeight="1">
      <c r="A16" s="5">
        <v>37681</v>
      </c>
      <c r="B16" s="6">
        <v>1.25</v>
      </c>
      <c r="C16" s="24">
        <v>26.32</v>
      </c>
      <c r="D16" s="8">
        <v>3.3530000000000002</v>
      </c>
      <c r="E16" s="8">
        <v>1433</v>
      </c>
      <c r="F16" s="8">
        <v>248.06</v>
      </c>
      <c r="G16" s="8">
        <v>98.88</v>
      </c>
      <c r="H16" s="8">
        <v>29.15</v>
      </c>
      <c r="I16" s="7">
        <v>9.9</v>
      </c>
      <c r="J16" s="9">
        <v>2.6191</v>
      </c>
      <c r="K16" s="10">
        <v>1.53</v>
      </c>
      <c r="L16" s="11">
        <v>0.13294</v>
      </c>
    </row>
    <row r="17" spans="1:12" ht="15.75" customHeight="1">
      <c r="A17" s="5">
        <v>37712</v>
      </c>
      <c r="B17" s="6">
        <v>1.26</v>
      </c>
      <c r="C17" s="24">
        <v>26.32</v>
      </c>
      <c r="D17" s="8">
        <v>2.89</v>
      </c>
      <c r="E17" s="8">
        <v>1126.82</v>
      </c>
      <c r="F17" s="8">
        <v>247.57</v>
      </c>
      <c r="G17" s="8">
        <v>97.19</v>
      </c>
      <c r="H17" s="8">
        <v>21.21</v>
      </c>
      <c r="I17" s="7">
        <v>9.18</v>
      </c>
      <c r="J17" s="9">
        <v>2.4506000000000001</v>
      </c>
      <c r="K17" s="10">
        <v>0.92</v>
      </c>
      <c r="L17" s="11">
        <v>0.13309599999999999</v>
      </c>
    </row>
    <row r="18" spans="1:12" ht="15.75" customHeight="1">
      <c r="A18" s="5">
        <v>37742</v>
      </c>
      <c r="B18" s="6">
        <v>1.26</v>
      </c>
      <c r="C18" s="24">
        <v>26.31</v>
      </c>
      <c r="D18" s="8">
        <v>2.9660000000000002</v>
      </c>
      <c r="E18" s="8">
        <v>945.87</v>
      </c>
      <c r="F18" s="8">
        <v>250.48</v>
      </c>
      <c r="G18" s="8">
        <v>93.29</v>
      </c>
      <c r="H18" s="8">
        <v>19.47</v>
      </c>
      <c r="I18" s="7">
        <v>8.23</v>
      </c>
      <c r="J18" s="9">
        <v>2.3386</v>
      </c>
      <c r="K18" s="10">
        <v>-0.26</v>
      </c>
      <c r="L18" s="11">
        <v>0.13397300000000001</v>
      </c>
    </row>
    <row r="19" spans="1:12" ht="15.75" customHeight="1">
      <c r="A19" s="5">
        <v>37773</v>
      </c>
      <c r="B19" s="6">
        <v>1.22</v>
      </c>
      <c r="C19" s="24">
        <v>26.09</v>
      </c>
      <c r="D19" s="8">
        <v>2.8719999999999999</v>
      </c>
      <c r="E19" s="8">
        <v>860.24</v>
      </c>
      <c r="F19" s="8">
        <v>249.06</v>
      </c>
      <c r="G19" s="8">
        <v>94.73</v>
      </c>
      <c r="H19" s="8">
        <v>19.52</v>
      </c>
      <c r="I19" s="7">
        <v>7.08</v>
      </c>
      <c r="J19" s="9">
        <v>2.2616999999999998</v>
      </c>
      <c r="K19" s="10">
        <v>-1</v>
      </c>
      <c r="L19" s="11">
        <v>0.12813099999999999</v>
      </c>
    </row>
    <row r="20" spans="1:12" ht="15.75" customHeight="1">
      <c r="A20" s="5">
        <v>37803</v>
      </c>
      <c r="B20" s="6">
        <v>1.01</v>
      </c>
      <c r="C20" s="24">
        <v>25.36</v>
      </c>
      <c r="D20" s="8">
        <v>2.9660000000000002</v>
      </c>
      <c r="E20" s="8">
        <v>864.46</v>
      </c>
      <c r="F20" s="8">
        <v>251.14</v>
      </c>
      <c r="G20" s="8">
        <v>96.89</v>
      </c>
      <c r="H20" s="8">
        <v>19.489999999999998</v>
      </c>
      <c r="I20" s="7">
        <v>6.39</v>
      </c>
      <c r="J20" s="9">
        <v>2.2282000000000002</v>
      </c>
      <c r="K20" s="10">
        <v>-0.42</v>
      </c>
      <c r="L20" s="11">
        <v>0.126911</v>
      </c>
    </row>
    <row r="21" spans="1:12" ht="15.75" customHeight="1">
      <c r="A21" s="5">
        <v>37834</v>
      </c>
      <c r="B21" s="6">
        <v>1.03</v>
      </c>
      <c r="C21" s="24">
        <v>23.5</v>
      </c>
      <c r="D21" s="8">
        <v>2.9670000000000001</v>
      </c>
      <c r="E21" s="8">
        <v>848.24</v>
      </c>
      <c r="F21" s="8">
        <v>254.18</v>
      </c>
      <c r="G21" s="8">
        <v>98.1</v>
      </c>
      <c r="H21" s="8">
        <v>18.63</v>
      </c>
      <c r="I21" s="7">
        <v>6.32</v>
      </c>
      <c r="J21" s="9">
        <v>2.1553</v>
      </c>
      <c r="K21" s="10">
        <v>0.38</v>
      </c>
      <c r="L21" s="11">
        <v>0.122042</v>
      </c>
    </row>
    <row r="22" spans="1:12" ht="15.75" customHeight="1">
      <c r="A22" s="5">
        <v>37865</v>
      </c>
      <c r="B22" s="6">
        <v>1.01</v>
      </c>
      <c r="C22" s="24">
        <v>21.02</v>
      </c>
      <c r="D22" s="8">
        <v>2.923</v>
      </c>
      <c r="E22" s="8">
        <v>741.7</v>
      </c>
      <c r="F22" s="8">
        <v>268.11</v>
      </c>
      <c r="G22" s="8">
        <v>92.85</v>
      </c>
      <c r="H22" s="8">
        <v>22.72</v>
      </c>
      <c r="I22" s="7">
        <v>6.56</v>
      </c>
      <c r="J22" s="9">
        <v>2.1743000000000001</v>
      </c>
      <c r="K22" s="10">
        <v>1.18</v>
      </c>
      <c r="L22" s="11">
        <v>0.103033</v>
      </c>
    </row>
    <row r="23" spans="1:12" ht="15.75" customHeight="1">
      <c r="A23" s="5">
        <v>37895</v>
      </c>
      <c r="B23" s="6">
        <v>1.01</v>
      </c>
      <c r="C23" s="24">
        <v>19.54</v>
      </c>
      <c r="D23" s="8">
        <v>2.8559999999999999</v>
      </c>
      <c r="E23" s="8">
        <v>674.17</v>
      </c>
      <c r="F23" s="8">
        <v>279.39999999999998</v>
      </c>
      <c r="G23" s="8">
        <v>92.73</v>
      </c>
      <c r="H23" s="8">
        <v>16.100000000000001</v>
      </c>
      <c r="I23" s="7">
        <v>6.15</v>
      </c>
      <c r="J23" s="9">
        <v>2.1507000000000001</v>
      </c>
      <c r="K23" s="10">
        <v>0.38</v>
      </c>
      <c r="L23" s="11">
        <v>9.7356999999999999E-2</v>
      </c>
    </row>
    <row r="24" spans="1:12" ht="15.75" customHeight="1">
      <c r="A24" s="5">
        <v>37926</v>
      </c>
      <c r="B24" s="6">
        <v>1</v>
      </c>
      <c r="C24" s="24">
        <v>18.309999999999999</v>
      </c>
      <c r="D24" s="8">
        <v>2.9489999999999998</v>
      </c>
      <c r="E24" s="8">
        <v>559.54999999999995</v>
      </c>
      <c r="F24" s="8">
        <v>276.29000000000002</v>
      </c>
      <c r="G24" s="8">
        <v>90.23</v>
      </c>
      <c r="H24" s="8">
        <v>16.32</v>
      </c>
      <c r="I24" s="7">
        <v>5.8</v>
      </c>
      <c r="J24" s="9">
        <v>2.0259999999999998</v>
      </c>
      <c r="K24" s="10">
        <v>0.49</v>
      </c>
      <c r="L24" s="11">
        <v>8.9463000000000001E-2</v>
      </c>
    </row>
    <row r="25" spans="1:12" ht="15.75" customHeight="1">
      <c r="A25" s="5">
        <v>37956</v>
      </c>
      <c r="B25" s="6">
        <v>0.98</v>
      </c>
      <c r="C25" s="24">
        <v>16.91</v>
      </c>
      <c r="D25" s="8">
        <v>2.8889999999999998</v>
      </c>
      <c r="E25" s="8">
        <v>421.13</v>
      </c>
      <c r="F25" s="8">
        <v>283.58</v>
      </c>
      <c r="G25" s="8">
        <v>86.92</v>
      </c>
      <c r="H25" s="8">
        <v>18.309999999999999</v>
      </c>
      <c r="I25" s="7">
        <v>5.92</v>
      </c>
      <c r="J25" s="9">
        <v>1.9678</v>
      </c>
      <c r="K25" s="10">
        <v>0.61</v>
      </c>
      <c r="L25" s="11">
        <v>8.8716000000000003E-2</v>
      </c>
    </row>
    <row r="26" spans="1:12" ht="15.75" customHeight="1">
      <c r="A26" s="5">
        <v>37987</v>
      </c>
      <c r="B26" s="6">
        <v>1</v>
      </c>
      <c r="C26" s="24">
        <v>16.32</v>
      </c>
      <c r="D26" s="8">
        <v>2.9409999999999998</v>
      </c>
      <c r="E26" s="8">
        <v>389.04</v>
      </c>
      <c r="F26" s="8">
        <v>291.27999999999997</v>
      </c>
      <c r="G26" s="8">
        <v>87.2</v>
      </c>
      <c r="H26" s="8">
        <v>16.63</v>
      </c>
      <c r="I26" s="7">
        <v>6.01</v>
      </c>
      <c r="J26" s="9">
        <v>1.9498</v>
      </c>
      <c r="K26" s="10">
        <v>0.88</v>
      </c>
      <c r="L26" s="11">
        <v>8.9099999999999999E-2</v>
      </c>
    </row>
    <row r="27" spans="1:12" ht="15.75" customHeight="1">
      <c r="A27" s="5">
        <v>38018</v>
      </c>
      <c r="B27" s="6">
        <v>1.01</v>
      </c>
      <c r="C27" s="24">
        <v>16.3</v>
      </c>
      <c r="D27" s="8">
        <v>2.9140000000000001</v>
      </c>
      <c r="E27" s="8">
        <v>578.84</v>
      </c>
      <c r="F27" s="8">
        <v>301.39</v>
      </c>
      <c r="G27" s="8">
        <v>87.31</v>
      </c>
      <c r="H27" s="8">
        <v>14.55</v>
      </c>
      <c r="I27" s="7">
        <v>5.74</v>
      </c>
      <c r="J27" s="9">
        <v>2.0371999999999999</v>
      </c>
      <c r="K27" s="10">
        <v>0.69</v>
      </c>
      <c r="L27" s="11">
        <v>8.8499999999999995E-2</v>
      </c>
    </row>
    <row r="28" spans="1:12" ht="15.75" customHeight="1">
      <c r="A28" s="5">
        <v>38047</v>
      </c>
      <c r="B28" s="6">
        <v>1</v>
      </c>
      <c r="C28" s="24">
        <v>16.190000000000001</v>
      </c>
      <c r="D28" s="8">
        <v>2.9089999999999998</v>
      </c>
      <c r="E28" s="8">
        <v>577.89</v>
      </c>
      <c r="F28" s="8">
        <v>305.43</v>
      </c>
      <c r="G28" s="8">
        <v>87.61</v>
      </c>
      <c r="H28" s="8">
        <v>16.739999999999998</v>
      </c>
      <c r="I28" s="7">
        <v>5.54</v>
      </c>
      <c r="J28" s="9">
        <v>2.1265999999999998</v>
      </c>
      <c r="K28" s="10">
        <v>1.1299999999999999</v>
      </c>
      <c r="L28" s="11">
        <v>9.0399999999999994E-2</v>
      </c>
    </row>
    <row r="29" spans="1:12" ht="15.75" customHeight="1">
      <c r="A29" s="5">
        <v>38078</v>
      </c>
      <c r="B29" s="6">
        <v>1</v>
      </c>
      <c r="C29" s="24">
        <v>15.96</v>
      </c>
      <c r="D29" s="8">
        <v>2.9449999999999998</v>
      </c>
      <c r="E29" s="8">
        <v>639.77</v>
      </c>
      <c r="F29" s="8">
        <v>304.98</v>
      </c>
      <c r="G29" s="8">
        <v>90.48</v>
      </c>
      <c r="H29" s="8">
        <v>17.190000000000001</v>
      </c>
      <c r="I29" s="7">
        <v>5.6</v>
      </c>
      <c r="J29" s="9">
        <v>2.2479</v>
      </c>
      <c r="K29" s="10">
        <v>1.21</v>
      </c>
      <c r="L29" s="11">
        <v>9.9199999999999997E-2</v>
      </c>
    </row>
    <row r="30" spans="1:12" ht="15.75" customHeight="1">
      <c r="A30" s="5">
        <v>38108</v>
      </c>
      <c r="B30" s="6">
        <v>1</v>
      </c>
      <c r="C30" s="24">
        <v>15.77</v>
      </c>
      <c r="D30" s="8">
        <v>3.129</v>
      </c>
      <c r="E30" s="8">
        <v>812.79</v>
      </c>
      <c r="F30" s="8">
        <v>299.67</v>
      </c>
      <c r="G30" s="8">
        <v>88.9</v>
      </c>
      <c r="H30" s="8">
        <v>15.5</v>
      </c>
      <c r="I30" s="7">
        <v>5.98</v>
      </c>
      <c r="J30" s="9">
        <v>2.2286000000000001</v>
      </c>
      <c r="K30" s="10">
        <v>1.31</v>
      </c>
      <c r="L30" s="11">
        <v>0.12770000000000001</v>
      </c>
    </row>
    <row r="31" spans="1:12" ht="15.75" customHeight="1">
      <c r="A31" s="5">
        <v>38139</v>
      </c>
      <c r="B31" s="6">
        <v>1.03</v>
      </c>
      <c r="C31" s="24">
        <v>15.8</v>
      </c>
      <c r="D31" s="8">
        <v>3.0720000000000001</v>
      </c>
      <c r="E31" s="8">
        <v>750.7</v>
      </c>
      <c r="F31" s="8">
        <v>291.16000000000003</v>
      </c>
      <c r="G31" s="8">
        <v>88.8</v>
      </c>
      <c r="H31" s="8">
        <v>14.34</v>
      </c>
      <c r="I31" s="7">
        <v>6.33</v>
      </c>
      <c r="J31" s="9">
        <v>2.3708</v>
      </c>
      <c r="K31" s="10">
        <v>1.38</v>
      </c>
      <c r="L31" s="11">
        <v>0.10390000000000001</v>
      </c>
    </row>
    <row r="32" spans="1:12" ht="15.75" customHeight="1">
      <c r="A32" s="5">
        <v>38169</v>
      </c>
      <c r="B32" s="6">
        <v>1.26</v>
      </c>
      <c r="C32" s="24">
        <v>15.77</v>
      </c>
      <c r="D32" s="8">
        <v>3.0270000000000001</v>
      </c>
      <c r="E32" s="8">
        <v>640.66999999999996</v>
      </c>
      <c r="F32" s="8">
        <v>290.18</v>
      </c>
      <c r="G32" s="8">
        <v>89.96</v>
      </c>
      <c r="H32" s="8">
        <v>15.32</v>
      </c>
      <c r="I32" s="7">
        <v>6.36</v>
      </c>
      <c r="J32" s="9">
        <v>2.2549999999999999</v>
      </c>
      <c r="K32" s="10">
        <v>1.31</v>
      </c>
      <c r="L32" s="11">
        <v>0.1082</v>
      </c>
    </row>
    <row r="33" spans="1:12" ht="15.75" customHeight="1">
      <c r="A33" s="5">
        <v>38200</v>
      </c>
      <c r="B33" s="6">
        <v>1.43</v>
      </c>
      <c r="C33" s="24">
        <v>15.86</v>
      </c>
      <c r="D33" s="8">
        <v>2.9340000000000002</v>
      </c>
      <c r="E33" s="8">
        <v>555.04</v>
      </c>
      <c r="F33" s="8">
        <v>297.29000000000002</v>
      </c>
      <c r="G33" s="8">
        <v>88.94</v>
      </c>
      <c r="H33" s="8">
        <v>15.29</v>
      </c>
      <c r="I33" s="7">
        <v>6.27</v>
      </c>
      <c r="J33" s="9">
        <v>2.2496999999999998</v>
      </c>
      <c r="K33" s="10">
        <v>1.22</v>
      </c>
      <c r="L33" s="11">
        <v>0.10929999999999999</v>
      </c>
    </row>
    <row r="34" spans="1:12" ht="15.75" customHeight="1">
      <c r="A34" s="5">
        <v>38231</v>
      </c>
      <c r="B34" s="6">
        <v>1.61</v>
      </c>
      <c r="C34" s="24">
        <v>16.09</v>
      </c>
      <c r="D34" s="8">
        <v>2.859</v>
      </c>
      <c r="E34" s="8">
        <v>457.7</v>
      </c>
      <c r="F34" s="8">
        <v>294.98</v>
      </c>
      <c r="G34" s="8">
        <v>87.37</v>
      </c>
      <c r="H34" s="8">
        <v>13.34</v>
      </c>
      <c r="I34" s="7">
        <v>6.24</v>
      </c>
      <c r="J34" s="9">
        <v>2.2319</v>
      </c>
      <c r="K34" s="10">
        <v>0.69</v>
      </c>
      <c r="L34" s="11">
        <v>0.1018</v>
      </c>
    </row>
    <row r="35" spans="1:12" ht="15.75" customHeight="1">
      <c r="A35" s="5">
        <v>38261</v>
      </c>
      <c r="B35" s="6">
        <v>1.76</v>
      </c>
      <c r="C35" s="24">
        <v>16.41</v>
      </c>
      <c r="D35" s="8">
        <v>2.8570000000000002</v>
      </c>
      <c r="E35" s="8">
        <v>428.84</v>
      </c>
      <c r="F35" s="8">
        <v>290.02</v>
      </c>
      <c r="G35" s="8">
        <v>84.91</v>
      </c>
      <c r="H35" s="8">
        <v>16.27</v>
      </c>
      <c r="I35" s="7">
        <v>6.22</v>
      </c>
      <c r="J35" s="9">
        <v>2.2292999999999998</v>
      </c>
      <c r="K35" s="10">
        <v>0.39</v>
      </c>
      <c r="L35" s="11">
        <v>0.1062</v>
      </c>
    </row>
    <row r="36" spans="1:12" ht="15.75" customHeight="1">
      <c r="A36" s="5">
        <v>38292</v>
      </c>
      <c r="B36" s="6">
        <v>1.93</v>
      </c>
      <c r="C36" s="24">
        <v>16.96</v>
      </c>
      <c r="D36" s="8">
        <v>2.7309999999999999</v>
      </c>
      <c r="E36" s="8">
        <v>388.97</v>
      </c>
      <c r="F36" s="8">
        <v>303.2</v>
      </c>
      <c r="G36" s="8">
        <v>81.819999999999993</v>
      </c>
      <c r="H36" s="8">
        <v>13.24</v>
      </c>
      <c r="I36" s="7">
        <v>6.3</v>
      </c>
      <c r="J36" s="9">
        <v>2.2938000000000001</v>
      </c>
      <c r="K36" s="10">
        <v>0.82</v>
      </c>
      <c r="L36" s="11">
        <v>0.10299999999999999</v>
      </c>
    </row>
    <row r="37" spans="1:12" ht="15.75" customHeight="1">
      <c r="A37" s="5">
        <v>38322</v>
      </c>
      <c r="B37" s="6">
        <v>2.16</v>
      </c>
      <c r="C37" s="24">
        <v>17.5</v>
      </c>
      <c r="D37" s="8">
        <v>2.6539999999999999</v>
      </c>
      <c r="E37" s="8">
        <v>327.67</v>
      </c>
      <c r="F37" s="8">
        <v>292.97000000000003</v>
      </c>
      <c r="G37" s="8">
        <v>80.849999999999994</v>
      </c>
      <c r="H37" s="8">
        <v>13.29</v>
      </c>
      <c r="I37" s="7">
        <v>6.08</v>
      </c>
      <c r="J37" s="9">
        <v>2.3041999999999998</v>
      </c>
      <c r="K37" s="10">
        <v>0.74</v>
      </c>
      <c r="L37" s="11">
        <v>9.7699999999999995E-2</v>
      </c>
    </row>
    <row r="38" spans="1:12" ht="15.75" customHeight="1">
      <c r="A38" s="5">
        <v>38353</v>
      </c>
      <c r="B38" s="6">
        <v>2.2799999999999998</v>
      </c>
      <c r="C38" s="24">
        <v>17.93</v>
      </c>
      <c r="D38" s="8">
        <v>2.625</v>
      </c>
      <c r="E38" s="8">
        <v>359.25</v>
      </c>
      <c r="F38" s="8">
        <v>289.72000000000003</v>
      </c>
      <c r="G38" s="8">
        <v>83.57</v>
      </c>
      <c r="H38" s="8">
        <v>12.82</v>
      </c>
      <c r="I38" s="7">
        <v>5.74</v>
      </c>
      <c r="J38" s="9">
        <v>2.3088000000000002</v>
      </c>
      <c r="K38" s="10">
        <v>0.39</v>
      </c>
      <c r="L38" s="11">
        <v>0.1066</v>
      </c>
    </row>
    <row r="39" spans="1:12" ht="15.75" customHeight="1">
      <c r="A39" s="5">
        <v>38384</v>
      </c>
      <c r="B39" s="6">
        <v>2.5</v>
      </c>
      <c r="C39" s="24">
        <v>18.47</v>
      </c>
      <c r="D39" s="8">
        <v>2.5950000000000002</v>
      </c>
      <c r="E39" s="8">
        <v>332.7</v>
      </c>
      <c r="F39" s="8">
        <v>295.98</v>
      </c>
      <c r="G39" s="8">
        <v>82.51</v>
      </c>
      <c r="H39" s="8">
        <v>12.08</v>
      </c>
      <c r="I39" s="7">
        <v>5.61</v>
      </c>
      <c r="J39" s="9">
        <v>2.2791000000000001</v>
      </c>
      <c r="K39" s="10">
        <v>0.3</v>
      </c>
      <c r="L39" s="11">
        <v>0.10539999999999999</v>
      </c>
    </row>
    <row r="40" spans="1:12" ht="15.75" customHeight="1">
      <c r="A40" s="5">
        <v>38412</v>
      </c>
      <c r="B40" s="6">
        <v>2.63</v>
      </c>
      <c r="C40" s="24">
        <v>18.97</v>
      </c>
      <c r="D40" s="8">
        <v>2.6659999999999999</v>
      </c>
      <c r="E40" s="8">
        <v>367.78</v>
      </c>
      <c r="F40" s="8">
        <v>298.11</v>
      </c>
      <c r="G40" s="8">
        <v>84.06</v>
      </c>
      <c r="H40" s="8">
        <v>14.02</v>
      </c>
      <c r="I40" s="7">
        <v>5.67</v>
      </c>
      <c r="J40" s="9">
        <v>2.2387000000000001</v>
      </c>
      <c r="K40" s="10">
        <v>0.85</v>
      </c>
      <c r="L40" s="11">
        <v>0.1133</v>
      </c>
    </row>
    <row r="41" spans="1:12" ht="15.75" customHeight="1">
      <c r="A41" s="5">
        <v>38443</v>
      </c>
      <c r="B41" s="6">
        <v>2.79</v>
      </c>
      <c r="C41" s="24">
        <v>19.32</v>
      </c>
      <c r="D41" s="8">
        <v>2.5310000000000001</v>
      </c>
      <c r="E41" s="8">
        <v>416.45</v>
      </c>
      <c r="F41" s="8">
        <v>302.08</v>
      </c>
      <c r="G41" s="8">
        <v>84.43</v>
      </c>
      <c r="H41" s="8">
        <v>15.31</v>
      </c>
      <c r="I41" s="7">
        <v>5.87</v>
      </c>
      <c r="J41" s="9">
        <v>2.2317999999999998</v>
      </c>
      <c r="K41" s="10">
        <v>0.86</v>
      </c>
      <c r="L41" s="11">
        <v>0.1108</v>
      </c>
    </row>
    <row r="42" spans="1:12" ht="15.75" customHeight="1">
      <c r="A42" s="5">
        <v>38473</v>
      </c>
      <c r="B42" s="6">
        <v>3</v>
      </c>
      <c r="C42" s="24">
        <v>19.61</v>
      </c>
      <c r="D42" s="8">
        <v>2.4039999999999999</v>
      </c>
      <c r="E42" s="8">
        <v>369.81</v>
      </c>
      <c r="F42" s="8">
        <v>296.45</v>
      </c>
      <c r="G42" s="8">
        <v>87.76</v>
      </c>
      <c r="H42" s="8">
        <v>13.29</v>
      </c>
      <c r="I42" s="7">
        <v>5.46</v>
      </c>
      <c r="J42" s="9">
        <v>2.3502999999999998</v>
      </c>
      <c r="K42" s="10">
        <v>-0.22</v>
      </c>
      <c r="L42" s="11">
        <v>0.10730000000000001</v>
      </c>
    </row>
    <row r="43" spans="1:12" ht="15.75" customHeight="1">
      <c r="A43" s="5">
        <v>38504</v>
      </c>
      <c r="B43" s="6">
        <v>3.04</v>
      </c>
      <c r="C43" s="24">
        <v>19.75</v>
      </c>
      <c r="D43" s="8">
        <v>2.35</v>
      </c>
      <c r="E43" s="8">
        <v>342.44</v>
      </c>
      <c r="F43" s="8">
        <v>294.14999999999998</v>
      </c>
      <c r="G43" s="8">
        <v>89.09</v>
      </c>
      <c r="H43" s="8">
        <v>12.04</v>
      </c>
      <c r="I43" s="7">
        <v>4.8499999999999996</v>
      </c>
      <c r="J43" s="9">
        <v>2.1909999999999998</v>
      </c>
      <c r="K43" s="10">
        <v>-0.44</v>
      </c>
      <c r="L43" s="11">
        <v>0.1086</v>
      </c>
    </row>
    <row r="44" spans="1:12" ht="15.75" customHeight="1">
      <c r="A44" s="5">
        <v>38534</v>
      </c>
      <c r="B44" s="6">
        <v>3.26</v>
      </c>
      <c r="C44" s="24">
        <v>19.72</v>
      </c>
      <c r="D44" s="8">
        <v>2.391</v>
      </c>
      <c r="E44" s="8">
        <v>331.35</v>
      </c>
      <c r="F44" s="8">
        <v>292.08999999999997</v>
      </c>
      <c r="G44" s="8">
        <v>89.35</v>
      </c>
      <c r="H44" s="8">
        <v>11.57</v>
      </c>
      <c r="I44" s="7">
        <v>4.8600000000000003</v>
      </c>
      <c r="J44" s="9">
        <v>2.2926000000000002</v>
      </c>
      <c r="K44" s="10">
        <v>-0.34</v>
      </c>
      <c r="L44" s="11">
        <v>0.1138</v>
      </c>
    </row>
    <row r="45" spans="1:12" ht="15.75" customHeight="1">
      <c r="A45" s="5">
        <v>38565</v>
      </c>
      <c r="B45" s="6">
        <v>3.5</v>
      </c>
      <c r="C45" s="24">
        <v>19.75</v>
      </c>
      <c r="D45" s="8">
        <v>2.3639999999999999</v>
      </c>
      <c r="E45" s="8">
        <v>331.68</v>
      </c>
      <c r="F45" s="8">
        <v>292.31</v>
      </c>
      <c r="G45" s="8">
        <v>87.58</v>
      </c>
      <c r="H45" s="8">
        <v>12.6</v>
      </c>
      <c r="I45" s="7">
        <v>4.7</v>
      </c>
      <c r="J45" s="9">
        <v>2.2568000000000001</v>
      </c>
      <c r="K45" s="10">
        <v>-0.65</v>
      </c>
      <c r="L45" s="11">
        <v>0.1163</v>
      </c>
    </row>
    <row r="46" spans="1:12" ht="15.75" customHeight="1">
      <c r="A46" s="5">
        <v>38596</v>
      </c>
      <c r="B46" s="6">
        <v>3.62</v>
      </c>
      <c r="C46" s="24">
        <v>19.61</v>
      </c>
      <c r="D46" s="8">
        <v>2.222</v>
      </c>
      <c r="E46" s="8">
        <v>295.39</v>
      </c>
      <c r="F46" s="8">
        <v>294.61</v>
      </c>
      <c r="G46" s="8">
        <v>89.52</v>
      </c>
      <c r="H46" s="8">
        <v>11.92</v>
      </c>
      <c r="I46" s="7">
        <v>4.74</v>
      </c>
      <c r="J46" s="9">
        <v>2.3264999999999998</v>
      </c>
      <c r="K46" s="10">
        <v>-0.53</v>
      </c>
      <c r="L46" s="11">
        <v>0.1105</v>
      </c>
    </row>
    <row r="47" spans="1:12" ht="15.75" customHeight="1">
      <c r="A47" s="5">
        <v>38626</v>
      </c>
      <c r="B47" s="6">
        <v>3.78</v>
      </c>
      <c r="C47" s="24">
        <v>19.25</v>
      </c>
      <c r="D47" s="8">
        <v>2.254</v>
      </c>
      <c r="E47" s="8">
        <v>299.7</v>
      </c>
      <c r="F47" s="8">
        <v>297.85000000000002</v>
      </c>
      <c r="G47" s="8">
        <v>90.07</v>
      </c>
      <c r="H47" s="8">
        <v>15.32</v>
      </c>
      <c r="I47" s="7">
        <v>4.7300000000000004</v>
      </c>
      <c r="J47" s="9">
        <v>2.3182</v>
      </c>
      <c r="K47" s="10">
        <v>0.6</v>
      </c>
      <c r="L47" s="11">
        <v>0.113</v>
      </c>
    </row>
    <row r="48" spans="1:12" ht="15.75" customHeight="1">
      <c r="A48" s="5">
        <v>38657</v>
      </c>
      <c r="B48" s="6">
        <v>4</v>
      </c>
      <c r="C48" s="24">
        <v>18.87</v>
      </c>
      <c r="D48" s="8">
        <v>2.2069999999999999</v>
      </c>
      <c r="E48" s="8">
        <v>260.56</v>
      </c>
      <c r="F48" s="8">
        <v>294.27999999999997</v>
      </c>
      <c r="G48" s="8">
        <v>91.57</v>
      </c>
      <c r="H48" s="8">
        <v>12.06</v>
      </c>
      <c r="I48" s="7">
        <v>4.6100000000000003</v>
      </c>
      <c r="J48" s="9">
        <v>2.4249000000000001</v>
      </c>
      <c r="K48" s="10">
        <v>0.4</v>
      </c>
      <c r="L48" s="11">
        <v>0.10879999999999999</v>
      </c>
    </row>
    <row r="49" spans="1:12" ht="15.75" customHeight="1">
      <c r="A49" s="5">
        <v>38687</v>
      </c>
      <c r="B49" s="6">
        <v>4.16</v>
      </c>
      <c r="C49" s="24">
        <v>18.239999999999998</v>
      </c>
      <c r="D49" s="8">
        <v>2.3410000000000002</v>
      </c>
      <c r="E49" s="8">
        <v>230.21</v>
      </c>
      <c r="F49" s="8">
        <v>303.01</v>
      </c>
      <c r="G49" s="8">
        <v>91.17</v>
      </c>
      <c r="H49" s="8">
        <v>12.07</v>
      </c>
      <c r="I49" s="7">
        <v>4.46</v>
      </c>
      <c r="J49" s="9">
        <v>2.4630000000000001</v>
      </c>
      <c r="K49" s="10">
        <v>-0.01</v>
      </c>
      <c r="L49" s="11">
        <v>0.10199999999999999</v>
      </c>
    </row>
    <row r="50" spans="1:12" ht="15.75" customHeight="1">
      <c r="A50" s="5">
        <v>38718</v>
      </c>
      <c r="B50" s="6">
        <v>4.29</v>
      </c>
      <c r="C50" s="24">
        <v>17.649999999999999</v>
      </c>
      <c r="D50" s="8">
        <v>2.2160000000000002</v>
      </c>
      <c r="E50" s="8">
        <v>193.38</v>
      </c>
      <c r="F50" s="8">
        <v>310.70999999999998</v>
      </c>
      <c r="G50" s="8">
        <v>88.96</v>
      </c>
      <c r="H50" s="8">
        <v>12.95</v>
      </c>
      <c r="I50" s="7">
        <v>4.62</v>
      </c>
      <c r="J50" s="9">
        <v>2.4447999999999999</v>
      </c>
      <c r="K50" s="10">
        <v>0.92</v>
      </c>
      <c r="L50" s="11">
        <v>9.7500000000000003E-2</v>
      </c>
    </row>
    <row r="51" spans="1:12" ht="15.75" customHeight="1">
      <c r="A51" s="5">
        <v>38749</v>
      </c>
      <c r="B51" s="6">
        <v>4.49</v>
      </c>
      <c r="C51" s="24">
        <v>17.28</v>
      </c>
      <c r="D51" s="8">
        <v>2.1360000000000001</v>
      </c>
      <c r="E51" s="8">
        <v>137.37</v>
      </c>
      <c r="F51" s="8">
        <v>311</v>
      </c>
      <c r="G51" s="8">
        <v>90.11</v>
      </c>
      <c r="H51" s="8">
        <v>12.34</v>
      </c>
      <c r="I51" s="7">
        <v>4.4000000000000004</v>
      </c>
      <c r="J51" s="9">
        <v>2.4929000000000001</v>
      </c>
      <c r="K51" s="10">
        <v>0.01</v>
      </c>
      <c r="L51" s="11">
        <v>9.2100000000000001E-2</v>
      </c>
    </row>
    <row r="52" spans="1:12" ht="15.75" customHeight="1">
      <c r="A52" s="5">
        <v>38777</v>
      </c>
      <c r="B52" s="6">
        <v>4.59</v>
      </c>
      <c r="C52" s="24">
        <v>16.739999999999998</v>
      </c>
      <c r="D52" s="8">
        <v>2.1720000000000002</v>
      </c>
      <c r="E52" s="8">
        <v>134.13999999999999</v>
      </c>
      <c r="F52" s="8">
        <v>312.98</v>
      </c>
      <c r="G52" s="8">
        <v>89.73</v>
      </c>
      <c r="H52" s="8">
        <v>11.39</v>
      </c>
      <c r="I52" s="7">
        <v>4.3099999999999996</v>
      </c>
      <c r="J52" s="9">
        <v>2.5752999999999999</v>
      </c>
      <c r="K52" s="10">
        <v>-0.23</v>
      </c>
      <c r="L52" s="11">
        <v>9.4E-2</v>
      </c>
    </row>
    <row r="53" spans="1:12" ht="15.75" customHeight="1">
      <c r="A53" s="5">
        <v>38808</v>
      </c>
      <c r="B53" s="6">
        <v>4.79</v>
      </c>
      <c r="C53" s="24">
        <v>16.190000000000001</v>
      </c>
      <c r="D53" s="8">
        <v>2.089</v>
      </c>
      <c r="E53" s="8">
        <v>143.77000000000001</v>
      </c>
      <c r="F53" s="8">
        <v>327.39</v>
      </c>
      <c r="G53" s="8">
        <v>86.11</v>
      </c>
      <c r="H53" s="8">
        <v>11.59</v>
      </c>
      <c r="I53" s="7">
        <v>4.0599999999999996</v>
      </c>
      <c r="J53" s="9">
        <v>2.6753</v>
      </c>
      <c r="K53" s="10">
        <v>-0.42</v>
      </c>
      <c r="L53" s="11">
        <v>9.5699999999999993E-2</v>
      </c>
    </row>
    <row r="54" spans="1:12" ht="15.75" customHeight="1">
      <c r="A54" s="5">
        <v>38838</v>
      </c>
      <c r="B54" s="6">
        <v>4.9400000000000004</v>
      </c>
      <c r="C54" s="24">
        <v>15.7</v>
      </c>
      <c r="D54" s="8">
        <v>2.3010000000000002</v>
      </c>
      <c r="E54" s="8">
        <v>159.53</v>
      </c>
      <c r="F54" s="8">
        <v>331.8</v>
      </c>
      <c r="G54" s="8">
        <v>84.72</v>
      </c>
      <c r="H54" s="8">
        <v>16.440000000000001</v>
      </c>
      <c r="I54" s="7">
        <v>4.0999999999999996</v>
      </c>
      <c r="J54" s="9">
        <v>2.7784</v>
      </c>
      <c r="K54" s="10">
        <v>0.38</v>
      </c>
      <c r="L54" s="11">
        <v>0.10829999999999999</v>
      </c>
    </row>
    <row r="55" spans="1:12" ht="15.75" customHeight="1">
      <c r="A55" s="5">
        <v>38869</v>
      </c>
      <c r="B55" s="6">
        <v>4.99</v>
      </c>
      <c r="C55" s="24">
        <v>15.18</v>
      </c>
      <c r="D55" s="8">
        <v>2.1640000000000001</v>
      </c>
      <c r="E55" s="8">
        <v>185.94</v>
      </c>
      <c r="F55" s="8">
        <v>337.07</v>
      </c>
      <c r="G55" s="8">
        <v>85.16</v>
      </c>
      <c r="H55" s="8">
        <v>13.08</v>
      </c>
      <c r="I55" s="7">
        <v>3.98</v>
      </c>
      <c r="J55" s="9">
        <v>3.0293000000000001</v>
      </c>
      <c r="K55" s="10">
        <v>0.75</v>
      </c>
      <c r="L55" s="11">
        <v>0.1023</v>
      </c>
    </row>
    <row r="56" spans="1:12" ht="15.75" customHeight="1">
      <c r="A56" s="5">
        <v>38899</v>
      </c>
      <c r="B56" s="6">
        <v>5.24</v>
      </c>
      <c r="C56" s="24">
        <v>14.98</v>
      </c>
      <c r="D56" s="8">
        <v>2.1760000000000002</v>
      </c>
      <c r="E56" s="8">
        <v>154.29</v>
      </c>
      <c r="F56" s="8">
        <v>337.98</v>
      </c>
      <c r="G56" s="8">
        <v>85.3</v>
      </c>
      <c r="H56" s="8">
        <v>14.95</v>
      </c>
      <c r="I56" s="7">
        <v>4.28</v>
      </c>
      <c r="J56" s="9">
        <v>3.0891999999999999</v>
      </c>
      <c r="K56" s="10">
        <v>0.18</v>
      </c>
      <c r="L56" s="11">
        <v>9.6000000000000002E-2</v>
      </c>
    </row>
    <row r="57" spans="1:12" ht="15.75" customHeight="1">
      <c r="A57" s="5">
        <v>38930</v>
      </c>
      <c r="B57" s="6">
        <v>5.25</v>
      </c>
      <c r="C57" s="24">
        <v>14.66</v>
      </c>
      <c r="D57" s="8">
        <v>2.1389999999999998</v>
      </c>
      <c r="E57" s="8">
        <v>127.85</v>
      </c>
      <c r="F57" s="8">
        <v>342.88</v>
      </c>
      <c r="G57" s="8">
        <v>85.05</v>
      </c>
      <c r="H57" s="8">
        <v>12.31</v>
      </c>
      <c r="I57" s="7">
        <v>4.4000000000000004</v>
      </c>
      <c r="J57" s="9">
        <v>3.2199</v>
      </c>
      <c r="K57" s="10">
        <v>0.37</v>
      </c>
      <c r="L57" s="11">
        <v>8.8900000000000007E-2</v>
      </c>
    </row>
    <row r="58" spans="1:12" ht="15.75" customHeight="1">
      <c r="A58" s="5">
        <v>38961</v>
      </c>
      <c r="B58" s="6">
        <v>5.25</v>
      </c>
      <c r="C58" s="24">
        <v>14.17</v>
      </c>
      <c r="D58" s="8">
        <v>2.1739999999999999</v>
      </c>
      <c r="E58" s="8">
        <v>130.83000000000001</v>
      </c>
      <c r="F58" s="8">
        <v>344.05</v>
      </c>
      <c r="G58" s="8">
        <v>86.03</v>
      </c>
      <c r="H58" s="8">
        <v>11.98</v>
      </c>
      <c r="I58" s="7">
        <v>3.93</v>
      </c>
      <c r="J58" s="9">
        <v>3.2071000000000001</v>
      </c>
      <c r="K58" s="10">
        <v>0.28999999999999998</v>
      </c>
      <c r="L58" s="11">
        <v>8.8800000000000004E-2</v>
      </c>
    </row>
    <row r="59" spans="1:12" ht="15.75" customHeight="1">
      <c r="A59" s="5">
        <v>38991</v>
      </c>
      <c r="B59" s="6">
        <v>5.25</v>
      </c>
      <c r="C59" s="24">
        <v>13.95</v>
      </c>
      <c r="D59" s="8">
        <v>2.1429999999999998</v>
      </c>
      <c r="E59" s="8">
        <v>117.77</v>
      </c>
      <c r="F59" s="8">
        <v>351.61</v>
      </c>
      <c r="G59" s="8">
        <v>85.32</v>
      </c>
      <c r="H59" s="8">
        <v>11.1</v>
      </c>
      <c r="I59" s="7">
        <v>4</v>
      </c>
      <c r="J59" s="9">
        <v>3.286</v>
      </c>
      <c r="K59" s="10">
        <v>0.47</v>
      </c>
      <c r="L59" s="11">
        <v>8.48E-2</v>
      </c>
    </row>
    <row r="60" spans="1:12" ht="15.75" customHeight="1">
      <c r="A60" s="5">
        <v>39022</v>
      </c>
      <c r="B60" s="6">
        <v>5.25</v>
      </c>
      <c r="C60" s="24">
        <v>13.65</v>
      </c>
      <c r="D60" s="8">
        <v>2.1669999999999998</v>
      </c>
      <c r="E60" s="8">
        <v>109.68</v>
      </c>
      <c r="F60" s="8">
        <v>360.05</v>
      </c>
      <c r="G60" s="8">
        <v>82.95</v>
      </c>
      <c r="H60" s="8">
        <v>10.91</v>
      </c>
      <c r="I60" s="7">
        <v>4.1399999999999997</v>
      </c>
      <c r="J60" s="9">
        <v>3.1413000000000002</v>
      </c>
      <c r="K60" s="10">
        <v>0.75</v>
      </c>
      <c r="L60" s="11">
        <v>8.1500000000000003E-2</v>
      </c>
    </row>
    <row r="61" spans="1:12" ht="15.75" customHeight="1">
      <c r="A61" s="5">
        <v>39052</v>
      </c>
      <c r="B61" s="6">
        <v>5.24</v>
      </c>
      <c r="C61" s="24">
        <v>13.19</v>
      </c>
      <c r="D61" s="8">
        <v>2.1379999999999999</v>
      </c>
      <c r="E61" s="8">
        <v>102.37</v>
      </c>
      <c r="F61" s="8">
        <v>362.35</v>
      </c>
      <c r="G61" s="8">
        <v>83.65</v>
      </c>
      <c r="H61" s="8">
        <v>11.56</v>
      </c>
      <c r="I61" s="7">
        <v>4.08</v>
      </c>
      <c r="J61" s="9">
        <v>3.1158999999999999</v>
      </c>
      <c r="K61" s="10">
        <v>0.32</v>
      </c>
      <c r="L61" s="11">
        <v>7.5899999999999995E-2</v>
      </c>
    </row>
    <row r="62" spans="1:12" ht="15.75" customHeight="1">
      <c r="A62" s="5">
        <v>39083</v>
      </c>
      <c r="B62" s="6">
        <v>5.25</v>
      </c>
      <c r="C62" s="24">
        <v>13.13</v>
      </c>
      <c r="D62" s="8">
        <v>2.125</v>
      </c>
      <c r="E62" s="8">
        <v>97.14</v>
      </c>
      <c r="F62" s="8">
        <v>361.13</v>
      </c>
      <c r="G62" s="8">
        <v>84.6</v>
      </c>
      <c r="H62" s="8">
        <v>10.42</v>
      </c>
      <c r="I62" s="7">
        <v>4.03</v>
      </c>
      <c r="J62" s="9">
        <v>3.1366999999999998</v>
      </c>
      <c r="K62" s="10">
        <v>0.5</v>
      </c>
      <c r="L62" s="11">
        <v>7.5800000000000006E-2</v>
      </c>
    </row>
    <row r="63" spans="1:12" ht="15.75" customHeight="1">
      <c r="A63" s="5">
        <v>39114</v>
      </c>
      <c r="B63" s="6">
        <v>5.26</v>
      </c>
      <c r="C63" s="24">
        <v>12.93</v>
      </c>
      <c r="D63" s="8">
        <v>2.1179999999999999</v>
      </c>
      <c r="E63" s="8">
        <v>89.74</v>
      </c>
      <c r="F63" s="8">
        <v>371.99</v>
      </c>
      <c r="G63" s="8">
        <v>83.57</v>
      </c>
      <c r="H63" s="8">
        <v>15.42</v>
      </c>
      <c r="I63" s="7">
        <v>3.81</v>
      </c>
      <c r="J63" s="9">
        <v>3.1524000000000001</v>
      </c>
      <c r="K63" s="10">
        <v>0.27</v>
      </c>
      <c r="L63" s="11">
        <v>7.4499999999999997E-2</v>
      </c>
    </row>
    <row r="64" spans="1:12" ht="15.75" customHeight="1">
      <c r="A64" s="5">
        <v>39142</v>
      </c>
      <c r="B64" s="6">
        <v>5.26</v>
      </c>
      <c r="C64" s="24">
        <v>12.74</v>
      </c>
      <c r="D64" s="8">
        <v>2.0499999999999998</v>
      </c>
      <c r="E64" s="8">
        <v>93.27</v>
      </c>
      <c r="F64" s="8">
        <v>386.91</v>
      </c>
      <c r="G64" s="8">
        <v>82.93</v>
      </c>
      <c r="H64" s="8">
        <v>14.64</v>
      </c>
      <c r="I64" s="7">
        <v>3.74</v>
      </c>
      <c r="J64" s="9">
        <v>3.0998999999999999</v>
      </c>
      <c r="K64" s="10">
        <v>0.34</v>
      </c>
      <c r="L64" s="11">
        <v>7.2900000000000006E-2</v>
      </c>
    </row>
    <row r="65" spans="1:12" ht="15.75" customHeight="1">
      <c r="A65" s="5">
        <v>39173</v>
      </c>
      <c r="B65" s="6">
        <v>5.25</v>
      </c>
      <c r="C65" s="24">
        <v>12.58</v>
      </c>
      <c r="D65" s="8">
        <v>2.0339999999999998</v>
      </c>
      <c r="E65" s="8">
        <v>73.900000000000006</v>
      </c>
      <c r="F65" s="8">
        <v>390.91</v>
      </c>
      <c r="G65" s="8">
        <v>81.447000000000003</v>
      </c>
      <c r="H65" s="8">
        <v>14.22</v>
      </c>
      <c r="I65" s="7">
        <v>3.47</v>
      </c>
      <c r="J65" s="9">
        <v>2.9575</v>
      </c>
      <c r="K65" s="10">
        <v>0.04</v>
      </c>
      <c r="L65" s="11">
        <v>6.8099999999999994E-2</v>
      </c>
    </row>
    <row r="66" spans="1:12" ht="15.75" customHeight="1">
      <c r="A66" s="5">
        <v>39203</v>
      </c>
      <c r="B66" s="6">
        <v>5.25</v>
      </c>
      <c r="C66" s="24">
        <v>12.43</v>
      </c>
      <c r="D66" s="8">
        <v>1.929</v>
      </c>
      <c r="E66" s="8">
        <v>66.56</v>
      </c>
      <c r="F66" s="8">
        <v>400.66</v>
      </c>
      <c r="G66" s="8">
        <v>82.301000000000002</v>
      </c>
      <c r="H66" s="8">
        <v>13.05</v>
      </c>
      <c r="I66" s="7">
        <v>3.4</v>
      </c>
      <c r="J66" s="9">
        <v>2.7742</v>
      </c>
      <c r="K66" s="10">
        <v>0.04</v>
      </c>
      <c r="L66" s="11">
        <v>6.6000000000000003E-2</v>
      </c>
    </row>
    <row r="67" spans="1:12" ht="15.75" customHeight="1">
      <c r="A67" s="5">
        <v>39234</v>
      </c>
      <c r="B67" s="6">
        <v>5.25</v>
      </c>
      <c r="C67" s="24">
        <v>12.03</v>
      </c>
      <c r="D67" s="8">
        <v>1.9259999999999999</v>
      </c>
      <c r="E67" s="8">
        <v>68.34</v>
      </c>
      <c r="F67" s="8">
        <v>405.2</v>
      </c>
      <c r="G67" s="8">
        <v>81.92</v>
      </c>
      <c r="H67" s="8">
        <v>16.23</v>
      </c>
      <c r="I67" s="7">
        <v>3.47</v>
      </c>
      <c r="J67" s="9">
        <v>2.6217000000000001</v>
      </c>
      <c r="K67" s="10">
        <v>0.26</v>
      </c>
      <c r="L67" s="11">
        <v>6.7100000000000007E-2</v>
      </c>
    </row>
    <row r="68" spans="1:12" ht="15.75" customHeight="1">
      <c r="A68" s="5">
        <v>39264</v>
      </c>
      <c r="B68" s="6">
        <v>5.26</v>
      </c>
      <c r="C68" s="24">
        <v>11.73</v>
      </c>
      <c r="D68" s="8">
        <v>1.8779999999999999</v>
      </c>
      <c r="E68" s="8">
        <v>87.93</v>
      </c>
      <c r="F68" s="8">
        <v>411.7</v>
      </c>
      <c r="G68" s="8">
        <v>80.77</v>
      </c>
      <c r="H68" s="8">
        <v>23.52</v>
      </c>
      <c r="I68" s="7">
        <v>3.55</v>
      </c>
      <c r="J68" s="9">
        <v>2.5253000000000001</v>
      </c>
      <c r="K68" s="10">
        <v>0.28000000000000003</v>
      </c>
      <c r="L68" s="11">
        <v>7.0400000000000004E-2</v>
      </c>
    </row>
    <row r="69" spans="1:12" ht="15.75" customHeight="1">
      <c r="A69" s="5">
        <v>39295</v>
      </c>
      <c r="B69" s="6">
        <v>5.0199999999999996</v>
      </c>
      <c r="C69" s="24">
        <v>11.43</v>
      </c>
      <c r="D69" s="8">
        <v>1.962</v>
      </c>
      <c r="E69" s="8">
        <v>115.18</v>
      </c>
      <c r="F69" s="8">
        <v>405.17</v>
      </c>
      <c r="G69" s="8">
        <v>80.790999999999997</v>
      </c>
      <c r="H69" s="8">
        <v>23.38</v>
      </c>
      <c r="I69" s="7">
        <v>3.83</v>
      </c>
      <c r="J69" s="9">
        <v>2.4592000000000001</v>
      </c>
      <c r="K69" s="10">
        <v>0.98</v>
      </c>
      <c r="L69" s="11">
        <v>7.5399999999999995E-2</v>
      </c>
    </row>
    <row r="70" spans="1:12" ht="15.75" customHeight="1">
      <c r="A70" s="5">
        <v>39326</v>
      </c>
      <c r="B70" s="6">
        <v>4.9400000000000004</v>
      </c>
      <c r="C70" s="24">
        <v>11.22</v>
      </c>
      <c r="D70" s="8">
        <v>1.839</v>
      </c>
      <c r="E70" s="8">
        <v>96.51</v>
      </c>
      <c r="F70" s="8">
        <v>417.74</v>
      </c>
      <c r="G70" s="8">
        <v>77.718999999999994</v>
      </c>
      <c r="H70" s="8">
        <v>18</v>
      </c>
      <c r="I70" s="7">
        <v>3.75</v>
      </c>
      <c r="J70" s="9">
        <v>2.4750000000000001</v>
      </c>
      <c r="K70" s="10">
        <v>1.29</v>
      </c>
      <c r="L70" s="11">
        <v>7.0599999999999996E-2</v>
      </c>
    </row>
    <row r="71" spans="1:12" ht="15.75" customHeight="1">
      <c r="A71" s="5">
        <v>39356</v>
      </c>
      <c r="B71" s="6">
        <v>4.76</v>
      </c>
      <c r="C71" s="24">
        <v>11.18</v>
      </c>
      <c r="D71" s="8">
        <v>1.744</v>
      </c>
      <c r="E71" s="8">
        <v>81.98</v>
      </c>
      <c r="F71" s="8">
        <v>416.28</v>
      </c>
      <c r="G71" s="8">
        <v>76.478999999999999</v>
      </c>
      <c r="H71" s="8">
        <v>18.53</v>
      </c>
      <c r="I71" s="7">
        <v>3.71</v>
      </c>
      <c r="J71" s="9">
        <v>2.4946000000000002</v>
      </c>
      <c r="K71" s="10">
        <v>1.05</v>
      </c>
      <c r="L71" s="11">
        <v>7.2400000000000006E-2</v>
      </c>
    </row>
    <row r="72" spans="1:12" ht="15.75" customHeight="1">
      <c r="A72" s="5">
        <v>39387</v>
      </c>
      <c r="B72" s="6">
        <v>4.49</v>
      </c>
      <c r="C72" s="24">
        <v>11.18</v>
      </c>
      <c r="D72" s="8">
        <v>1.784</v>
      </c>
      <c r="E72" s="8">
        <v>104.87</v>
      </c>
      <c r="F72" s="8">
        <v>413.63</v>
      </c>
      <c r="G72" s="8">
        <v>76.147000000000006</v>
      </c>
      <c r="H72" s="8">
        <v>22.87</v>
      </c>
      <c r="I72" s="7">
        <v>3.85</v>
      </c>
      <c r="J72" s="9">
        <v>2.6495000000000002</v>
      </c>
      <c r="K72" s="10">
        <v>0.69</v>
      </c>
      <c r="L72" s="11">
        <v>7.6899999999999996E-2</v>
      </c>
    </row>
    <row r="73" spans="1:12" ht="15.75" customHeight="1">
      <c r="A73" s="5">
        <v>39417</v>
      </c>
      <c r="B73" s="6">
        <v>4.24</v>
      </c>
      <c r="C73" s="24">
        <v>11.18</v>
      </c>
      <c r="D73" s="8">
        <v>1.7709999999999999</v>
      </c>
      <c r="E73" s="8">
        <v>99.94</v>
      </c>
      <c r="F73" s="8">
        <v>413.4</v>
      </c>
      <c r="G73" s="8">
        <v>76.694999999999993</v>
      </c>
      <c r="H73" s="8">
        <v>22.5</v>
      </c>
      <c r="I73" s="7">
        <v>4.45</v>
      </c>
      <c r="J73" s="9">
        <v>2.7124000000000001</v>
      </c>
      <c r="K73" s="10">
        <v>1.76</v>
      </c>
      <c r="L73" s="11">
        <v>7.9399999999999998E-2</v>
      </c>
    </row>
    <row r="74" spans="1:12" ht="15.75" customHeight="1">
      <c r="A74" s="5">
        <v>39448</v>
      </c>
      <c r="B74" s="6">
        <v>3.94</v>
      </c>
      <c r="C74" s="24">
        <v>11.18</v>
      </c>
      <c r="D74" s="8">
        <v>1.76</v>
      </c>
      <c r="E74" s="8">
        <v>127.37</v>
      </c>
      <c r="F74" s="8">
        <v>426.88</v>
      </c>
      <c r="G74" s="8">
        <v>75.177999999999997</v>
      </c>
      <c r="H74" s="8">
        <v>26.2</v>
      </c>
      <c r="I74" s="7">
        <v>4.4400000000000004</v>
      </c>
      <c r="J74" s="9">
        <v>2.7477</v>
      </c>
      <c r="K74" s="10">
        <v>1.0900000000000001</v>
      </c>
      <c r="L74" s="11">
        <v>7.6799999999999993E-2</v>
      </c>
    </row>
    <row r="75" spans="1:12" ht="15.75" customHeight="1">
      <c r="A75" s="5">
        <v>39479</v>
      </c>
      <c r="B75" s="6">
        <v>2.98</v>
      </c>
      <c r="C75" s="24">
        <v>11.18</v>
      </c>
      <c r="D75" s="8">
        <v>1.6830000000000001</v>
      </c>
      <c r="E75" s="8">
        <v>148.19</v>
      </c>
      <c r="F75" s="8">
        <v>468.72</v>
      </c>
      <c r="G75" s="8">
        <v>73.713999999999999</v>
      </c>
      <c r="H75" s="8">
        <v>26.54</v>
      </c>
      <c r="I75" s="7">
        <v>4.28</v>
      </c>
      <c r="J75" s="9">
        <v>2.6177000000000001</v>
      </c>
      <c r="K75" s="10">
        <v>0.53</v>
      </c>
      <c r="L75" s="11">
        <v>7.5200000000000003E-2</v>
      </c>
    </row>
    <row r="76" spans="1:12" ht="15.75" customHeight="1">
      <c r="A76" s="5">
        <v>39508</v>
      </c>
      <c r="B76" s="6">
        <v>2.61</v>
      </c>
      <c r="C76" s="24">
        <v>11.18</v>
      </c>
      <c r="D76" s="8">
        <v>1.7490000000000001</v>
      </c>
      <c r="E76" s="8">
        <v>170.89</v>
      </c>
      <c r="F76" s="8">
        <v>450.32</v>
      </c>
      <c r="G76" s="8">
        <v>71.802000000000007</v>
      </c>
      <c r="H76" s="8">
        <v>25.61</v>
      </c>
      <c r="I76" s="7">
        <v>4.3600000000000003</v>
      </c>
      <c r="J76" s="9">
        <v>2.6888999999999998</v>
      </c>
      <c r="K76" s="10">
        <v>0.74</v>
      </c>
      <c r="L76" s="11">
        <v>8.2799999999999999E-2</v>
      </c>
    </row>
    <row r="77" spans="1:12" ht="15.75" customHeight="1">
      <c r="A77" s="5">
        <v>39539</v>
      </c>
      <c r="B77" s="6">
        <v>2.2799999999999998</v>
      </c>
      <c r="C77" s="24">
        <v>11.37</v>
      </c>
      <c r="D77" s="8">
        <v>1.6870000000000001</v>
      </c>
      <c r="E77" s="8">
        <v>133.44999999999999</v>
      </c>
      <c r="F77" s="8">
        <v>469.88</v>
      </c>
      <c r="G77" s="8">
        <v>72.509</v>
      </c>
      <c r="H77" s="8">
        <v>20.79</v>
      </c>
      <c r="I77" s="7">
        <v>4.5599999999999996</v>
      </c>
      <c r="J77" s="9">
        <v>2.7254999999999998</v>
      </c>
      <c r="K77" s="10">
        <v>0.69</v>
      </c>
      <c r="L77" s="11">
        <v>8.5000000000000006E-2</v>
      </c>
    </row>
    <row r="78" spans="1:12" ht="15.75" customHeight="1">
      <c r="A78" s="5">
        <v>39569</v>
      </c>
      <c r="B78" s="6">
        <v>1.98</v>
      </c>
      <c r="C78" s="24">
        <v>11.63</v>
      </c>
      <c r="D78" s="8">
        <v>1.629</v>
      </c>
      <c r="E78" s="8">
        <v>97.77</v>
      </c>
      <c r="F78" s="8">
        <v>456</v>
      </c>
      <c r="G78" s="8">
        <v>72.879000000000005</v>
      </c>
      <c r="H78" s="8">
        <v>17.829999999999998</v>
      </c>
      <c r="I78" s="7">
        <v>5.08</v>
      </c>
      <c r="J78" s="9">
        <v>2.7930000000000001</v>
      </c>
      <c r="K78" s="10">
        <v>1.61</v>
      </c>
      <c r="L78" s="11">
        <v>8.6099999999999996E-2</v>
      </c>
    </row>
    <row r="79" spans="1:12" ht="15.75" customHeight="1">
      <c r="A79" s="5">
        <v>39600</v>
      </c>
      <c r="B79" s="6">
        <v>2</v>
      </c>
      <c r="C79" s="24">
        <v>12.09</v>
      </c>
      <c r="D79" s="8">
        <v>1.5920000000000001</v>
      </c>
      <c r="E79" s="8">
        <v>100.38</v>
      </c>
      <c r="F79" s="8">
        <v>476.69</v>
      </c>
      <c r="G79" s="8">
        <v>72.462999999999994</v>
      </c>
      <c r="H79" s="8">
        <v>23.95</v>
      </c>
      <c r="I79" s="7">
        <v>5.6</v>
      </c>
      <c r="J79" s="9">
        <v>2.9339</v>
      </c>
      <c r="K79" s="10">
        <v>1.98</v>
      </c>
      <c r="L79" s="11">
        <v>9.1899999999999996E-2</v>
      </c>
    </row>
    <row r="80" spans="1:12" ht="15.75" customHeight="1">
      <c r="A80" s="5">
        <v>39630</v>
      </c>
      <c r="B80" s="6">
        <v>2.0099999999999998</v>
      </c>
      <c r="C80" s="24">
        <v>12.36</v>
      </c>
      <c r="D80" s="8">
        <v>1.5669999999999999</v>
      </c>
      <c r="E80" s="8">
        <v>120.58</v>
      </c>
      <c r="F80" s="8">
        <v>459.78</v>
      </c>
      <c r="G80" s="8">
        <v>73.227000000000004</v>
      </c>
      <c r="H80" s="8">
        <v>22.94</v>
      </c>
      <c r="I80" s="7">
        <v>5.49</v>
      </c>
      <c r="J80" s="9">
        <v>3.0105</v>
      </c>
      <c r="K80" s="10">
        <v>1.76</v>
      </c>
      <c r="L80" s="11">
        <v>8.4099999999999994E-2</v>
      </c>
    </row>
    <row r="81" spans="1:12" ht="15.75" customHeight="1">
      <c r="A81" s="5">
        <v>39661</v>
      </c>
      <c r="B81" s="6">
        <v>2</v>
      </c>
      <c r="C81" s="24">
        <v>12.92</v>
      </c>
      <c r="D81" s="8">
        <v>1.6339999999999999</v>
      </c>
      <c r="E81" s="8">
        <v>127.31</v>
      </c>
      <c r="F81" s="8">
        <v>438.72</v>
      </c>
      <c r="G81" s="8">
        <v>77.381</v>
      </c>
      <c r="H81" s="8">
        <v>20.65</v>
      </c>
      <c r="I81" s="7">
        <v>5.16</v>
      </c>
      <c r="J81" s="9">
        <v>3.0808</v>
      </c>
      <c r="K81" s="10">
        <v>-0.32</v>
      </c>
      <c r="L81" s="11">
        <v>8.3099999999999993E-2</v>
      </c>
    </row>
    <row r="82" spans="1:12" ht="15.75" customHeight="1">
      <c r="A82" s="5">
        <v>39692</v>
      </c>
      <c r="B82" s="6">
        <v>1.81</v>
      </c>
      <c r="C82" s="24">
        <v>13.39</v>
      </c>
      <c r="D82" s="8">
        <v>1.9139999999999999</v>
      </c>
      <c r="E82" s="8">
        <v>168.99</v>
      </c>
      <c r="F82" s="8">
        <v>412.62</v>
      </c>
      <c r="G82" s="8">
        <v>79.447999999999993</v>
      </c>
      <c r="H82" s="8">
        <v>39.39</v>
      </c>
      <c r="I82" s="7">
        <v>5.01</v>
      </c>
      <c r="J82" s="9">
        <v>3.0716000000000001</v>
      </c>
      <c r="K82" s="10">
        <v>0.11</v>
      </c>
      <c r="L82" s="11">
        <v>8.5000000000000006E-2</v>
      </c>
    </row>
    <row r="83" spans="1:12" ht="15.75" customHeight="1">
      <c r="A83" s="5">
        <v>39722</v>
      </c>
      <c r="B83" s="6">
        <v>0.97</v>
      </c>
      <c r="C83" s="24">
        <v>13.66</v>
      </c>
      <c r="D83" s="8">
        <v>2.1150000000000002</v>
      </c>
      <c r="E83" s="8">
        <v>359.03</v>
      </c>
      <c r="F83" s="8">
        <v>342.56</v>
      </c>
      <c r="G83" s="8">
        <v>85.632999999999996</v>
      </c>
      <c r="H83" s="8">
        <v>59.89</v>
      </c>
      <c r="I83" s="7">
        <v>5.4</v>
      </c>
      <c r="J83" s="9">
        <v>2.9222000000000001</v>
      </c>
      <c r="K83" s="10">
        <v>0.98</v>
      </c>
      <c r="L83" s="11">
        <v>9.8000000000000004E-2</v>
      </c>
    </row>
    <row r="84" spans="1:12" ht="15.75" customHeight="1">
      <c r="A84" s="5">
        <v>39753</v>
      </c>
      <c r="B84" s="6">
        <v>0.39</v>
      </c>
      <c r="C84" s="24">
        <v>13.64</v>
      </c>
      <c r="D84" s="8">
        <v>2.3330000000000002</v>
      </c>
      <c r="E84" s="8">
        <v>348.67</v>
      </c>
      <c r="F84" s="8">
        <v>322.57</v>
      </c>
      <c r="G84" s="8">
        <v>86.516999999999996</v>
      </c>
      <c r="H84" s="8">
        <v>55.28</v>
      </c>
      <c r="I84" s="7">
        <v>5.45</v>
      </c>
      <c r="J84" s="9">
        <v>2.7770999999999999</v>
      </c>
      <c r="K84" s="10">
        <v>0.38</v>
      </c>
      <c r="L84" s="11">
        <v>8.7999999999999995E-2</v>
      </c>
    </row>
    <row r="85" spans="1:12" ht="15.75" customHeight="1">
      <c r="A85" s="5">
        <v>39783</v>
      </c>
      <c r="B85" s="6">
        <v>0.16</v>
      </c>
      <c r="C85" s="24">
        <v>13.66</v>
      </c>
      <c r="D85" s="8">
        <v>2.3370000000000002</v>
      </c>
      <c r="E85" s="8">
        <v>345.07</v>
      </c>
      <c r="F85" s="8">
        <v>315.10000000000002</v>
      </c>
      <c r="G85" s="8">
        <v>81.308000000000007</v>
      </c>
      <c r="H85" s="8">
        <v>40</v>
      </c>
      <c r="I85" s="7">
        <v>4.93</v>
      </c>
      <c r="J85" s="9">
        <v>2.6145</v>
      </c>
      <c r="K85" s="10">
        <v>-0.13</v>
      </c>
      <c r="L85" s="11">
        <v>6.4799999999999996E-2</v>
      </c>
    </row>
    <row r="86" spans="1:12" ht="15.75" customHeight="1">
      <c r="A86" s="5">
        <v>39814</v>
      </c>
      <c r="B86" s="6">
        <v>0.15</v>
      </c>
      <c r="C86" s="24">
        <v>13.32</v>
      </c>
      <c r="D86" s="8">
        <v>2.3159999999999998</v>
      </c>
      <c r="E86" s="8">
        <v>325.39999999999998</v>
      </c>
      <c r="F86" s="8">
        <v>321.20999999999998</v>
      </c>
      <c r="G86" s="8">
        <v>85.998999999999995</v>
      </c>
      <c r="H86" s="8">
        <v>44.84</v>
      </c>
      <c r="I86" s="7">
        <v>4.7</v>
      </c>
      <c r="J86" s="9">
        <v>2.536</v>
      </c>
      <c r="K86" s="10">
        <v>-0.44</v>
      </c>
      <c r="L86" s="11">
        <v>6.2300000000000001E-2</v>
      </c>
    </row>
    <row r="87" spans="1:12" ht="15.75" customHeight="1">
      <c r="A87" s="5">
        <v>39845</v>
      </c>
      <c r="B87" s="6">
        <v>0.22</v>
      </c>
      <c r="C87" s="24">
        <v>12.66</v>
      </c>
      <c r="D87" s="8">
        <v>2.3780000000000001</v>
      </c>
      <c r="E87" s="8">
        <v>378.26</v>
      </c>
      <c r="F87" s="8">
        <v>311.41000000000003</v>
      </c>
      <c r="G87" s="8">
        <v>88.007999999999996</v>
      </c>
      <c r="H87" s="8">
        <v>46.35</v>
      </c>
      <c r="I87" s="7">
        <v>4.57</v>
      </c>
      <c r="J87" s="9">
        <v>2.5426000000000002</v>
      </c>
      <c r="K87" s="10">
        <v>0.26</v>
      </c>
      <c r="L87" s="11">
        <v>5.8700000000000002E-2</v>
      </c>
    </row>
    <row r="88" spans="1:12" ht="15.75" customHeight="1">
      <c r="A88" s="5">
        <v>39873</v>
      </c>
      <c r="B88" s="6">
        <v>0.18</v>
      </c>
      <c r="C88" s="24">
        <v>11.7</v>
      </c>
      <c r="D88" s="8">
        <v>2.3149999999999999</v>
      </c>
      <c r="E88" s="8">
        <v>368.18</v>
      </c>
      <c r="F88" s="8">
        <v>321.39999999999998</v>
      </c>
      <c r="G88" s="8">
        <v>85.43</v>
      </c>
      <c r="H88" s="8">
        <v>44.14</v>
      </c>
      <c r="I88" s="7">
        <v>4.1399999999999997</v>
      </c>
      <c r="J88" s="9">
        <v>2.4377</v>
      </c>
      <c r="K88" s="10">
        <v>-0.74</v>
      </c>
      <c r="L88" s="11">
        <v>5.6599999999999998E-2</v>
      </c>
    </row>
    <row r="89" spans="1:12" ht="15.75" customHeight="1">
      <c r="A89" s="5">
        <v>39904</v>
      </c>
      <c r="B89" s="6">
        <v>0.15</v>
      </c>
      <c r="C89" s="24">
        <v>11.11</v>
      </c>
      <c r="D89" s="8">
        <v>2.1779999999999999</v>
      </c>
      <c r="E89" s="8">
        <v>285.5</v>
      </c>
      <c r="F89" s="8">
        <v>338.57</v>
      </c>
      <c r="G89" s="8">
        <v>84.614000000000004</v>
      </c>
      <c r="H89" s="8">
        <v>36.5</v>
      </c>
      <c r="I89" s="7">
        <v>4.21</v>
      </c>
      <c r="J89" s="9">
        <v>2.3599000000000001</v>
      </c>
      <c r="K89" s="10">
        <v>-0.15</v>
      </c>
      <c r="L89" s="11">
        <v>6.1499999999999999E-2</v>
      </c>
    </row>
    <row r="90" spans="1:12" ht="15.75" customHeight="1">
      <c r="A90" s="5">
        <v>39934</v>
      </c>
      <c r="B90" s="6">
        <v>0.18</v>
      </c>
      <c r="C90" s="24">
        <v>10.16</v>
      </c>
      <c r="D90" s="8">
        <v>1.9730000000000001</v>
      </c>
      <c r="E90" s="8">
        <v>219.16</v>
      </c>
      <c r="F90" s="8">
        <v>364.9</v>
      </c>
      <c r="G90" s="8">
        <v>79.347999999999999</v>
      </c>
      <c r="H90" s="8">
        <v>28.92</v>
      </c>
      <c r="I90" s="7">
        <v>4.1399999999999997</v>
      </c>
      <c r="J90" s="9">
        <v>2.2738</v>
      </c>
      <c r="K90" s="10">
        <v>-7.0000000000000007E-2</v>
      </c>
      <c r="L90" s="11">
        <v>5.6000000000000001E-2</v>
      </c>
    </row>
    <row r="91" spans="1:12" ht="15.75" customHeight="1">
      <c r="A91" s="5">
        <v>39965</v>
      </c>
      <c r="B91" s="6">
        <v>0.21</v>
      </c>
      <c r="C91" s="24">
        <v>9.5399999999999991</v>
      </c>
      <c r="D91" s="8">
        <v>1.952</v>
      </c>
      <c r="E91" s="8">
        <v>183.14</v>
      </c>
      <c r="F91" s="8">
        <v>360.92</v>
      </c>
      <c r="G91" s="8">
        <v>80.132999999999996</v>
      </c>
      <c r="H91" s="8">
        <v>26.35</v>
      </c>
      <c r="I91" s="7">
        <v>4.0599999999999996</v>
      </c>
      <c r="J91" s="9">
        <v>2.0781000000000001</v>
      </c>
      <c r="K91" s="10">
        <v>-0.1</v>
      </c>
      <c r="L91" s="11">
        <v>6.0600000000000001E-2</v>
      </c>
    </row>
    <row r="92" spans="1:12" ht="15.75" customHeight="1">
      <c r="A92" s="5">
        <v>39995</v>
      </c>
      <c r="B92" s="6">
        <v>0.16</v>
      </c>
      <c r="C92" s="24">
        <v>9.01</v>
      </c>
      <c r="D92" s="8">
        <v>1.873</v>
      </c>
      <c r="E92" s="8">
        <v>165.48</v>
      </c>
      <c r="F92" s="8">
        <v>372.36</v>
      </c>
      <c r="G92" s="8">
        <v>78.346999999999994</v>
      </c>
      <c r="H92" s="8">
        <v>25.92</v>
      </c>
      <c r="I92" s="7">
        <v>4.09</v>
      </c>
      <c r="J92" s="9">
        <v>1.9101999999999999</v>
      </c>
      <c r="K92" s="10">
        <v>-0.43</v>
      </c>
      <c r="L92" s="11">
        <v>6.0699999999999997E-2</v>
      </c>
    </row>
    <row r="93" spans="1:12" ht="15.75" customHeight="1">
      <c r="A93" s="5">
        <v>40026</v>
      </c>
      <c r="B93" s="6">
        <v>0.16</v>
      </c>
      <c r="C93" s="24">
        <v>8.65</v>
      </c>
      <c r="D93" s="8">
        <v>1.8859999999999999</v>
      </c>
      <c r="E93" s="8">
        <v>127.68</v>
      </c>
      <c r="F93" s="8">
        <v>381.52</v>
      </c>
      <c r="G93" s="8">
        <v>78.171999999999997</v>
      </c>
      <c r="H93" s="8">
        <v>26.01</v>
      </c>
      <c r="I93" s="7">
        <v>3.97</v>
      </c>
      <c r="J93" s="9">
        <v>1.7569999999999999</v>
      </c>
      <c r="K93" s="10">
        <v>-0.36</v>
      </c>
      <c r="L93" s="11">
        <v>6.2300000000000001E-2</v>
      </c>
    </row>
    <row r="94" spans="1:12" ht="15.75" customHeight="1">
      <c r="A94" s="5">
        <v>40057</v>
      </c>
      <c r="B94" s="6">
        <v>0.15</v>
      </c>
      <c r="C94" s="24">
        <v>8.65</v>
      </c>
      <c r="D94" s="8">
        <v>1.778</v>
      </c>
      <c r="E94" s="8">
        <v>125.79</v>
      </c>
      <c r="F94" s="8">
        <v>372.37</v>
      </c>
      <c r="G94" s="8">
        <v>76.653000000000006</v>
      </c>
      <c r="H94" s="8">
        <v>25.61</v>
      </c>
      <c r="I94" s="7">
        <v>4.1900000000000004</v>
      </c>
      <c r="J94" s="9">
        <v>1.6028</v>
      </c>
      <c r="K94" s="10">
        <v>0.42</v>
      </c>
      <c r="L94" s="11">
        <v>6.6400000000000001E-2</v>
      </c>
    </row>
    <row r="95" spans="1:12" ht="15.75" customHeight="1">
      <c r="A95" s="5">
        <v>40087</v>
      </c>
      <c r="B95" s="6">
        <v>0.12</v>
      </c>
      <c r="C95" s="24">
        <v>8.65</v>
      </c>
      <c r="D95" s="8">
        <v>1.744</v>
      </c>
      <c r="E95" s="8">
        <v>124.44</v>
      </c>
      <c r="F95" s="8">
        <v>389.25</v>
      </c>
      <c r="G95" s="8">
        <v>76.3</v>
      </c>
      <c r="H95" s="8">
        <v>30.69</v>
      </c>
      <c r="I95" s="7">
        <v>4.32</v>
      </c>
      <c r="J95" s="9">
        <v>1.5092000000000001</v>
      </c>
      <c r="K95" s="10">
        <v>0.05</v>
      </c>
      <c r="L95" s="11">
        <v>6.6699999999999995E-2</v>
      </c>
    </row>
    <row r="96" spans="1:12" ht="15.75" customHeight="1">
      <c r="A96" s="5">
        <v>40118</v>
      </c>
      <c r="B96" s="6">
        <v>0.12</v>
      </c>
      <c r="C96" s="24">
        <v>8.65</v>
      </c>
      <c r="D96" s="8">
        <v>1.7509999999999999</v>
      </c>
      <c r="E96" s="8">
        <v>124.86</v>
      </c>
      <c r="F96" s="8">
        <v>414.34</v>
      </c>
      <c r="G96" s="8">
        <v>74.879000000000005</v>
      </c>
      <c r="H96" s="8">
        <v>24.51</v>
      </c>
      <c r="I96" s="7">
        <v>4.3499999999999996</v>
      </c>
      <c r="J96" s="9">
        <v>1.3615999999999999</v>
      </c>
      <c r="K96" s="10">
        <v>0.1</v>
      </c>
      <c r="L96" s="11">
        <v>6.88E-2</v>
      </c>
    </row>
    <row r="97" spans="1:12" ht="15.75" customHeight="1">
      <c r="A97" s="5">
        <v>40148</v>
      </c>
      <c r="B97" s="6">
        <v>0.12</v>
      </c>
      <c r="C97" s="24">
        <v>8.65</v>
      </c>
      <c r="D97" s="8">
        <v>1.7410000000000001</v>
      </c>
      <c r="E97" s="8">
        <v>123.3</v>
      </c>
      <c r="F97" s="8">
        <v>421.13</v>
      </c>
      <c r="G97" s="8">
        <v>77.86</v>
      </c>
      <c r="H97" s="8">
        <v>21.68</v>
      </c>
      <c r="I97" s="7">
        <v>4.4000000000000004</v>
      </c>
      <c r="J97" s="9">
        <v>1.3188</v>
      </c>
      <c r="K97" s="10">
        <v>-0.26</v>
      </c>
      <c r="L97" s="11">
        <v>6.9000000000000006E-2</v>
      </c>
    </row>
    <row r="98" spans="1:12" ht="15.75" customHeight="1">
      <c r="A98" s="5">
        <v>40179</v>
      </c>
      <c r="B98" s="6">
        <v>0.11</v>
      </c>
      <c r="C98" s="24">
        <v>8.65</v>
      </c>
      <c r="D98" s="8">
        <v>1.875</v>
      </c>
      <c r="E98" s="8">
        <v>126.78</v>
      </c>
      <c r="F98" s="8">
        <v>415.49</v>
      </c>
      <c r="G98" s="8">
        <v>79.462000000000003</v>
      </c>
      <c r="H98" s="8">
        <v>24.62</v>
      </c>
      <c r="I98" s="7">
        <v>4.68</v>
      </c>
      <c r="J98" s="9">
        <v>1.1708000000000001</v>
      </c>
      <c r="K98" s="10">
        <v>0.63</v>
      </c>
      <c r="L98" s="11">
        <v>6.6500000000000004E-2</v>
      </c>
    </row>
    <row r="99" spans="1:12" ht="15.75" customHeight="1">
      <c r="A99" s="5">
        <v>40210</v>
      </c>
      <c r="B99" s="6">
        <v>0.13</v>
      </c>
      <c r="C99" s="24">
        <v>8.65</v>
      </c>
      <c r="D99" s="8">
        <v>1.8109999999999999</v>
      </c>
      <c r="E99" s="8">
        <v>138.43</v>
      </c>
      <c r="F99" s="8">
        <v>427.52</v>
      </c>
      <c r="G99" s="8">
        <v>80.361999999999995</v>
      </c>
      <c r="H99" s="8">
        <v>19.5</v>
      </c>
      <c r="I99" s="7">
        <v>4.66</v>
      </c>
      <c r="J99" s="9">
        <v>1.0487</v>
      </c>
      <c r="K99" s="10">
        <v>1.18</v>
      </c>
      <c r="L99" s="11">
        <v>6.59E-2</v>
      </c>
    </row>
    <row r="100" spans="1:12" ht="15.75" customHeight="1">
      <c r="A100" s="5">
        <v>40238</v>
      </c>
      <c r="B100" s="6">
        <v>0.16</v>
      </c>
      <c r="C100" s="24">
        <v>8.65</v>
      </c>
      <c r="D100" s="8">
        <v>1.7809999999999999</v>
      </c>
      <c r="E100" s="8">
        <v>122.74</v>
      </c>
      <c r="F100" s="8">
        <v>431.17</v>
      </c>
      <c r="G100" s="8">
        <v>81.072999999999993</v>
      </c>
      <c r="H100" s="8">
        <v>17.59</v>
      </c>
      <c r="I100" s="7">
        <v>4.7</v>
      </c>
      <c r="J100" s="9">
        <v>0.92549999999999999</v>
      </c>
      <c r="K100" s="10">
        <v>0.94</v>
      </c>
      <c r="L100" s="11">
        <v>6.6400000000000001E-2</v>
      </c>
    </row>
    <row r="101" spans="1:12" ht="15.75" customHeight="1">
      <c r="A101" s="5">
        <v>40269</v>
      </c>
      <c r="B101" s="6">
        <v>0.2</v>
      </c>
      <c r="C101" s="24">
        <v>8.7200000000000006</v>
      </c>
      <c r="D101" s="8">
        <v>1.7310000000000001</v>
      </c>
      <c r="E101" s="8">
        <v>119.33</v>
      </c>
      <c r="F101" s="8">
        <v>444.93</v>
      </c>
      <c r="G101" s="8">
        <v>81.866</v>
      </c>
      <c r="H101" s="8">
        <v>22.05</v>
      </c>
      <c r="I101" s="7">
        <v>4.8600000000000003</v>
      </c>
      <c r="J101" s="9">
        <v>0.86939999999999995</v>
      </c>
      <c r="K101" s="10">
        <v>0.77</v>
      </c>
      <c r="L101" s="11">
        <v>7.0800000000000002E-2</v>
      </c>
    </row>
    <row r="102" spans="1:12" ht="15.75" customHeight="1">
      <c r="A102" s="5">
        <v>40299</v>
      </c>
      <c r="B102" s="6">
        <v>0.2</v>
      </c>
      <c r="C102" s="24">
        <v>9.4</v>
      </c>
      <c r="D102" s="8">
        <v>1.8169999999999999</v>
      </c>
      <c r="E102" s="8">
        <v>137.18</v>
      </c>
      <c r="F102" s="8">
        <v>424.86</v>
      </c>
      <c r="G102" s="8">
        <v>86.587999999999994</v>
      </c>
      <c r="H102" s="8">
        <v>32.07</v>
      </c>
      <c r="I102" s="7">
        <v>4.88</v>
      </c>
      <c r="J102" s="9">
        <v>0.79330000000000001</v>
      </c>
      <c r="K102" s="10">
        <v>1.19</v>
      </c>
      <c r="L102" s="11">
        <v>6.7299999999999999E-2</v>
      </c>
    </row>
    <row r="103" spans="1:12" ht="15.75" customHeight="1">
      <c r="A103" s="5">
        <v>40330</v>
      </c>
      <c r="B103" s="6">
        <v>0.18</v>
      </c>
      <c r="C103" s="24">
        <v>9.94</v>
      </c>
      <c r="D103" s="8">
        <v>1.802</v>
      </c>
      <c r="E103" s="8">
        <v>136.65</v>
      </c>
      <c r="F103" s="8">
        <v>418.89</v>
      </c>
      <c r="G103" s="8">
        <v>86.019000000000005</v>
      </c>
      <c r="H103" s="8">
        <v>34.54</v>
      </c>
      <c r="I103" s="7">
        <v>4.74</v>
      </c>
      <c r="J103" s="9">
        <v>0.77800000000000002</v>
      </c>
      <c r="K103" s="10">
        <v>0.85</v>
      </c>
      <c r="L103" s="11">
        <v>6.8199999999999997E-2</v>
      </c>
    </row>
    <row r="104" spans="1:12" ht="15.75" customHeight="1">
      <c r="A104" s="5">
        <v>40360</v>
      </c>
      <c r="B104" s="6">
        <v>0.18</v>
      </c>
      <c r="C104" s="24">
        <v>10.32</v>
      </c>
      <c r="D104" s="8">
        <v>1.7569999999999999</v>
      </c>
      <c r="E104" s="8">
        <v>126.4</v>
      </c>
      <c r="F104" s="8">
        <v>438.56</v>
      </c>
      <c r="G104" s="8">
        <v>81.539000000000001</v>
      </c>
      <c r="H104" s="8">
        <v>23.5</v>
      </c>
      <c r="I104" s="7">
        <v>4.82</v>
      </c>
      <c r="J104" s="9">
        <v>0.74409999999999998</v>
      </c>
      <c r="K104" s="10">
        <v>0.15</v>
      </c>
      <c r="L104" s="11">
        <v>6.3500000000000001E-2</v>
      </c>
    </row>
    <row r="105" spans="1:12" ht="15.75" customHeight="1">
      <c r="A105" s="5">
        <v>40391</v>
      </c>
      <c r="B105" s="6">
        <v>0.19</v>
      </c>
      <c r="C105" s="24">
        <v>10.66</v>
      </c>
      <c r="D105" s="8">
        <v>1.756</v>
      </c>
      <c r="E105" s="8">
        <v>119.72</v>
      </c>
      <c r="F105" s="8">
        <v>455.07</v>
      </c>
      <c r="G105" s="8">
        <v>83.201999999999998</v>
      </c>
      <c r="H105" s="8">
        <v>26.05</v>
      </c>
      <c r="I105" s="7">
        <v>4.9800000000000004</v>
      </c>
      <c r="J105" s="9">
        <v>0.69110000000000005</v>
      </c>
      <c r="K105" s="10">
        <v>0.77</v>
      </c>
      <c r="L105" s="11">
        <v>5.96E-2</v>
      </c>
    </row>
    <row r="106" spans="1:12" ht="15.75" customHeight="1">
      <c r="A106" s="5">
        <v>40422</v>
      </c>
      <c r="B106" s="6">
        <v>0.19</v>
      </c>
      <c r="C106" s="24">
        <v>10.66</v>
      </c>
      <c r="D106" s="8">
        <v>1.694</v>
      </c>
      <c r="E106" s="8">
        <v>119.37</v>
      </c>
      <c r="F106" s="8">
        <v>487.26</v>
      </c>
      <c r="G106" s="8">
        <v>78.72</v>
      </c>
      <c r="H106" s="8">
        <v>23.7</v>
      </c>
      <c r="I106" s="7">
        <v>5.31</v>
      </c>
      <c r="J106" s="9">
        <v>0.66390000000000005</v>
      </c>
      <c r="K106" s="10">
        <v>1.1499999999999999</v>
      </c>
      <c r="L106" s="11">
        <v>6.1600000000000002E-2</v>
      </c>
    </row>
    <row r="107" spans="1:12" ht="15.75" customHeight="1">
      <c r="A107" s="5">
        <v>40452</v>
      </c>
      <c r="B107" s="6">
        <v>0.19</v>
      </c>
      <c r="C107" s="24">
        <v>10.66</v>
      </c>
      <c r="D107" s="8">
        <v>1.7010000000000001</v>
      </c>
      <c r="E107" s="8">
        <v>100.48</v>
      </c>
      <c r="F107" s="8">
        <v>490.03</v>
      </c>
      <c r="G107" s="8">
        <v>77.266000000000005</v>
      </c>
      <c r="H107" s="8">
        <v>21.2</v>
      </c>
      <c r="I107" s="7">
        <v>5.42</v>
      </c>
      <c r="J107" s="9">
        <v>0.67230000000000001</v>
      </c>
      <c r="K107" s="10">
        <v>1.01</v>
      </c>
      <c r="L107" s="11">
        <v>5.8799999999999998E-2</v>
      </c>
    </row>
    <row r="108" spans="1:12" ht="15.75" customHeight="1">
      <c r="A108" s="5">
        <v>40483</v>
      </c>
      <c r="B108" s="6">
        <v>0.19</v>
      </c>
      <c r="C108" s="24">
        <v>10.66</v>
      </c>
      <c r="D108" s="8">
        <v>1.716</v>
      </c>
      <c r="E108" s="8">
        <v>104.16</v>
      </c>
      <c r="F108" s="8">
        <v>483.96</v>
      </c>
      <c r="G108" s="8">
        <v>81.194999999999993</v>
      </c>
      <c r="H108" s="8">
        <v>23.54</v>
      </c>
      <c r="I108" s="7">
        <v>5.61</v>
      </c>
      <c r="J108" s="9">
        <v>0.82330000000000003</v>
      </c>
      <c r="K108" s="10">
        <v>1.45</v>
      </c>
      <c r="L108" s="11">
        <v>6.3200000000000006E-2</v>
      </c>
    </row>
    <row r="109" spans="1:12" ht="15.75" customHeight="1">
      <c r="A109" s="5">
        <v>40513</v>
      </c>
      <c r="B109" s="6">
        <v>0.18</v>
      </c>
      <c r="C109" s="24">
        <v>10.66</v>
      </c>
      <c r="D109" s="8">
        <v>1.6659999999999999</v>
      </c>
      <c r="E109" s="8">
        <v>112.05</v>
      </c>
      <c r="F109" s="8">
        <v>520.33000000000004</v>
      </c>
      <c r="G109" s="8">
        <v>79.028000000000006</v>
      </c>
      <c r="H109" s="8">
        <v>17.75</v>
      </c>
      <c r="I109" s="7">
        <v>5.52</v>
      </c>
      <c r="J109" s="9">
        <v>0.83079999999999998</v>
      </c>
      <c r="K109" s="10">
        <v>0.69</v>
      </c>
      <c r="L109" s="11">
        <v>6.0699999999999997E-2</v>
      </c>
    </row>
    <row r="110" spans="1:12" ht="15.75" customHeight="1">
      <c r="A110" s="5">
        <v>40544</v>
      </c>
      <c r="B110" s="6">
        <v>0.17</v>
      </c>
      <c r="C110" s="24">
        <v>10.85</v>
      </c>
      <c r="D110" s="8">
        <v>1.6749000000000001</v>
      </c>
      <c r="E110" s="8">
        <v>109.65</v>
      </c>
      <c r="F110" s="8">
        <v>554.45000000000005</v>
      </c>
      <c r="G110" s="8">
        <v>77.734999999999999</v>
      </c>
      <c r="H110" s="8">
        <v>19.53</v>
      </c>
      <c r="I110" s="7">
        <v>5.67</v>
      </c>
      <c r="J110" s="9">
        <v>0.95399999999999996</v>
      </c>
      <c r="K110" s="10">
        <v>0.79</v>
      </c>
      <c r="L110" s="11">
        <v>6.6299999999999998E-2</v>
      </c>
    </row>
    <row r="111" spans="1:12" ht="15.75" customHeight="1">
      <c r="A111" s="5">
        <v>40575</v>
      </c>
      <c r="B111" s="6">
        <v>0.16</v>
      </c>
      <c r="C111" s="24">
        <v>11.17</v>
      </c>
      <c r="D111" s="8">
        <v>1.6720999999999999</v>
      </c>
      <c r="E111" s="8">
        <v>117.49</v>
      </c>
      <c r="F111" s="8">
        <v>565.78</v>
      </c>
      <c r="G111" s="8">
        <v>76.888999999999996</v>
      </c>
      <c r="H111" s="8">
        <v>18.350000000000001</v>
      </c>
      <c r="I111" s="7">
        <v>5.61</v>
      </c>
      <c r="J111" s="9">
        <v>1.1177999999999999</v>
      </c>
      <c r="K111" s="10">
        <v>1</v>
      </c>
      <c r="L111" s="11">
        <v>6.4399999999999999E-2</v>
      </c>
    </row>
    <row r="112" spans="1:12" ht="15.75" customHeight="1">
      <c r="A112" s="5">
        <v>40603</v>
      </c>
      <c r="B112" s="6">
        <v>0.14000000000000001</v>
      </c>
      <c r="C112" s="24">
        <v>11.62</v>
      </c>
      <c r="D112" s="8">
        <v>1.6591</v>
      </c>
      <c r="E112" s="8">
        <v>114.95</v>
      </c>
      <c r="F112" s="8">
        <v>575.25</v>
      </c>
      <c r="G112" s="8">
        <v>75.856999999999999</v>
      </c>
      <c r="H112" s="8">
        <v>17.739999999999998</v>
      </c>
      <c r="I112" s="7">
        <v>5.61</v>
      </c>
      <c r="J112" s="9">
        <v>1.18</v>
      </c>
      <c r="K112" s="10">
        <v>0.62</v>
      </c>
      <c r="L112" s="11">
        <v>6.5699999999999995E-2</v>
      </c>
    </row>
    <row r="113" spans="1:12" ht="15.75" customHeight="1">
      <c r="A113" s="5">
        <v>40634</v>
      </c>
      <c r="B113" s="6">
        <v>0.1</v>
      </c>
      <c r="C113" s="24">
        <v>11.74</v>
      </c>
      <c r="D113" s="8">
        <v>1.5864</v>
      </c>
      <c r="E113" s="8">
        <v>107.64</v>
      </c>
      <c r="F113" s="8">
        <v>569.61</v>
      </c>
      <c r="G113" s="8">
        <v>72.933000000000007</v>
      </c>
      <c r="H113" s="8">
        <v>14.75</v>
      </c>
      <c r="I113" s="7">
        <v>4.8600000000000003</v>
      </c>
      <c r="J113" s="9">
        <v>1.2102999999999999</v>
      </c>
      <c r="K113" s="10">
        <v>0.45</v>
      </c>
      <c r="L113" s="11">
        <v>6.5699999999999995E-2</v>
      </c>
    </row>
    <row r="114" spans="1:12" ht="15.75" customHeight="1">
      <c r="A114" s="5">
        <v>40664</v>
      </c>
      <c r="B114" s="6">
        <v>0.09</v>
      </c>
      <c r="C114" s="24">
        <v>11.92</v>
      </c>
      <c r="D114" s="8">
        <v>1.6134999999999999</v>
      </c>
      <c r="E114" s="8">
        <v>103.76</v>
      </c>
      <c r="F114" s="8">
        <v>564.53</v>
      </c>
      <c r="G114" s="8">
        <v>74.638000000000005</v>
      </c>
      <c r="H114" s="8">
        <v>15.45</v>
      </c>
      <c r="I114" s="7">
        <v>4.88</v>
      </c>
      <c r="J114" s="9">
        <v>1.2561</v>
      </c>
      <c r="K114" s="10">
        <v>0.43</v>
      </c>
      <c r="L114" s="11">
        <v>6.59E-2</v>
      </c>
    </row>
    <row r="115" spans="1:12" ht="15.75" customHeight="1">
      <c r="A115" s="5">
        <v>40695</v>
      </c>
      <c r="B115" s="6">
        <v>0.09</v>
      </c>
      <c r="C115" s="24">
        <v>12.1</v>
      </c>
      <c r="D115" s="8">
        <v>1.587</v>
      </c>
      <c r="E115" s="8">
        <v>112.96</v>
      </c>
      <c r="F115" s="8">
        <v>550.29999999999995</v>
      </c>
      <c r="G115" s="8">
        <v>74.302999999999997</v>
      </c>
      <c r="H115" s="8">
        <v>16.52</v>
      </c>
      <c r="I115" s="7">
        <v>4.74</v>
      </c>
      <c r="J115" s="9">
        <v>1.294</v>
      </c>
      <c r="K115" s="10">
        <v>-0.18</v>
      </c>
      <c r="L115" s="11">
        <v>6.9500000000000006E-2</v>
      </c>
    </row>
    <row r="116" spans="1:12" ht="15.75" customHeight="1">
      <c r="A116" s="5">
        <v>40725</v>
      </c>
      <c r="B116" s="6">
        <v>7.0000000000000007E-2</v>
      </c>
      <c r="C116" s="24">
        <v>12.25</v>
      </c>
      <c r="D116" s="8">
        <v>1.5639000000000001</v>
      </c>
      <c r="E116" s="8">
        <v>113.1</v>
      </c>
      <c r="F116" s="8">
        <v>554.04999999999995</v>
      </c>
      <c r="G116" s="8">
        <v>73.897000000000006</v>
      </c>
      <c r="H116" s="8">
        <v>25.25</v>
      </c>
      <c r="I116" s="7">
        <v>5.35</v>
      </c>
      <c r="J116" s="9">
        <v>1.4184000000000001</v>
      </c>
      <c r="K116" s="10">
        <v>-0.12</v>
      </c>
      <c r="L116" s="11">
        <v>6.7699999999999996E-2</v>
      </c>
    </row>
    <row r="117" spans="1:12" ht="15.75" customHeight="1">
      <c r="A117" s="5">
        <v>40756</v>
      </c>
      <c r="B117" s="6">
        <v>0.1</v>
      </c>
      <c r="C117" s="24">
        <v>12.42</v>
      </c>
      <c r="D117" s="8">
        <v>1.597</v>
      </c>
      <c r="E117" s="8">
        <v>145.75</v>
      </c>
      <c r="F117" s="8">
        <v>544.28</v>
      </c>
      <c r="G117" s="8">
        <v>74.117000000000004</v>
      </c>
      <c r="H117" s="8">
        <v>31.62</v>
      </c>
      <c r="I117" s="7">
        <v>5.47</v>
      </c>
      <c r="J117" s="9">
        <v>1.6514</v>
      </c>
      <c r="K117" s="10">
        <v>0.44</v>
      </c>
      <c r="L117" s="11">
        <v>5.28E-2</v>
      </c>
    </row>
    <row r="118" spans="1:12" ht="15.75" customHeight="1">
      <c r="A118" s="5">
        <v>40787</v>
      </c>
      <c r="B118" s="6">
        <v>0.08</v>
      </c>
      <c r="C118" s="24">
        <v>11.91</v>
      </c>
      <c r="D118" s="8">
        <v>1.7498</v>
      </c>
      <c r="E118" s="8">
        <v>174.68</v>
      </c>
      <c r="F118" s="8">
        <v>503.56</v>
      </c>
      <c r="G118" s="8">
        <v>78.552999999999997</v>
      </c>
      <c r="H118" s="8">
        <v>42.96</v>
      </c>
      <c r="I118" s="7">
        <v>5.8</v>
      </c>
      <c r="J118" s="9">
        <v>1.7215</v>
      </c>
      <c r="K118" s="10">
        <v>0.65</v>
      </c>
      <c r="L118" s="11">
        <v>4.5600000000000002E-2</v>
      </c>
    </row>
    <row r="119" spans="1:12" ht="15.75" customHeight="1">
      <c r="A119" s="5">
        <v>40817</v>
      </c>
      <c r="B119" s="6">
        <v>7.0000000000000007E-2</v>
      </c>
      <c r="C119" s="24">
        <v>11.7</v>
      </c>
      <c r="D119" s="8">
        <v>1.7722</v>
      </c>
      <c r="E119" s="8">
        <v>166.08</v>
      </c>
      <c r="F119" s="8">
        <v>510.23</v>
      </c>
      <c r="G119" s="8">
        <v>76.165999999999997</v>
      </c>
      <c r="H119" s="8">
        <v>29.96</v>
      </c>
      <c r="I119" s="7">
        <v>5.56</v>
      </c>
      <c r="J119" s="9">
        <v>1.8358000000000001</v>
      </c>
      <c r="K119" s="10">
        <v>0.53</v>
      </c>
      <c r="L119" s="11">
        <v>4.5199999999999997E-2</v>
      </c>
    </row>
    <row r="120" spans="1:12" ht="15.75" customHeight="1">
      <c r="A120" s="5">
        <v>40848</v>
      </c>
      <c r="B120" s="6">
        <v>0.08</v>
      </c>
      <c r="C120" s="24">
        <v>11.4</v>
      </c>
      <c r="D120" s="8">
        <v>1.7783</v>
      </c>
      <c r="E120" s="8">
        <v>167.13</v>
      </c>
      <c r="F120" s="8">
        <v>490</v>
      </c>
      <c r="G120" s="8">
        <v>78.384</v>
      </c>
      <c r="H120" s="8">
        <v>27.8</v>
      </c>
      <c r="I120" s="7">
        <v>5.53</v>
      </c>
      <c r="J120" s="9">
        <v>1.8353999999999999</v>
      </c>
      <c r="K120" s="10">
        <v>0.5</v>
      </c>
      <c r="L120" s="11">
        <v>3.9600000000000003E-2</v>
      </c>
    </row>
    <row r="121" spans="1:12" ht="15.75" customHeight="1">
      <c r="A121" s="5">
        <v>40878</v>
      </c>
      <c r="B121" s="6">
        <v>7.0000000000000007E-2</v>
      </c>
      <c r="C121" s="24">
        <v>10.9</v>
      </c>
      <c r="D121" s="8">
        <v>1.8369</v>
      </c>
      <c r="E121" s="8">
        <v>157.75</v>
      </c>
      <c r="F121" s="8">
        <v>482.01</v>
      </c>
      <c r="G121" s="8">
        <v>80.177999999999997</v>
      </c>
      <c r="H121" s="8">
        <v>23.4</v>
      </c>
      <c r="I121" s="7">
        <v>5.35</v>
      </c>
      <c r="J121" s="9">
        <v>2.0451000000000001</v>
      </c>
      <c r="K121" s="10">
        <v>-0.12</v>
      </c>
      <c r="L121" s="11">
        <v>4.7100000000000003E-2</v>
      </c>
    </row>
    <row r="122" spans="1:12" ht="15.75" customHeight="1">
      <c r="A122" s="5">
        <v>40909</v>
      </c>
      <c r="B122" s="6">
        <v>0.08</v>
      </c>
      <c r="C122" s="24">
        <v>10.7</v>
      </c>
      <c r="D122" s="8">
        <v>1.7897000000000001</v>
      </c>
      <c r="E122" s="8">
        <v>155.44999999999999</v>
      </c>
      <c r="F122" s="8">
        <v>499</v>
      </c>
      <c r="G122" s="8">
        <v>79.287999999999997</v>
      </c>
      <c r="H122" s="8">
        <v>19.440000000000001</v>
      </c>
      <c r="I122" s="7">
        <v>5.3</v>
      </c>
      <c r="J122" s="9">
        <v>2.1133999999999999</v>
      </c>
      <c r="K122" s="10">
        <v>0.25</v>
      </c>
      <c r="L122" s="11">
        <v>4.3999999999999997E-2</v>
      </c>
    </row>
    <row r="123" spans="1:12" ht="15.75" customHeight="1">
      <c r="A123" s="5">
        <v>40940</v>
      </c>
      <c r="B123" s="6">
        <v>0.1</v>
      </c>
      <c r="C123" s="24">
        <v>10.4</v>
      </c>
      <c r="D123" s="8">
        <v>1.7183999999999999</v>
      </c>
      <c r="E123" s="8">
        <v>138.83000000000001</v>
      </c>
      <c r="F123" s="8">
        <v>503.46</v>
      </c>
      <c r="G123" s="8">
        <v>78.736999999999995</v>
      </c>
      <c r="H123" s="8">
        <v>18.43</v>
      </c>
      <c r="I123" s="7">
        <v>5.26</v>
      </c>
      <c r="J123" s="9">
        <v>2.0160999999999998</v>
      </c>
      <c r="K123" s="10">
        <v>-0.06</v>
      </c>
      <c r="L123" s="11">
        <v>4.2200000000000001E-2</v>
      </c>
    </row>
    <row r="124" spans="1:12" ht="15.75" customHeight="1">
      <c r="A124" s="5">
        <v>40969</v>
      </c>
      <c r="B124" s="6">
        <v>0.13</v>
      </c>
      <c r="C124" s="24">
        <v>9.82</v>
      </c>
      <c r="D124" s="8">
        <v>1.7952999999999999</v>
      </c>
      <c r="E124" s="8">
        <v>124.45</v>
      </c>
      <c r="F124" s="8">
        <v>497.18</v>
      </c>
      <c r="G124" s="8">
        <v>79.004000000000005</v>
      </c>
      <c r="H124" s="8">
        <v>15.5</v>
      </c>
      <c r="I124" s="7">
        <v>5.43</v>
      </c>
      <c r="J124" s="9">
        <v>2.1227999999999998</v>
      </c>
      <c r="K124" s="10">
        <v>0.43</v>
      </c>
      <c r="L124" s="11">
        <v>3.9899999999999998E-2</v>
      </c>
    </row>
    <row r="125" spans="1:12" ht="15.75" customHeight="1">
      <c r="A125" s="5">
        <v>41000</v>
      </c>
      <c r="B125" s="6">
        <v>0.14000000000000001</v>
      </c>
      <c r="C125" s="24">
        <v>9.35</v>
      </c>
      <c r="D125" s="8">
        <v>1.8548</v>
      </c>
      <c r="E125" s="8">
        <v>127.14</v>
      </c>
      <c r="F125" s="8">
        <v>491.42</v>
      </c>
      <c r="G125" s="8">
        <v>78.775999999999996</v>
      </c>
      <c r="H125" s="8">
        <v>17.149999999999999</v>
      </c>
      <c r="I125" s="7">
        <v>5.57</v>
      </c>
      <c r="J125" s="9">
        <v>2.1918000000000002</v>
      </c>
      <c r="K125" s="10">
        <v>0.85</v>
      </c>
      <c r="L125" s="11">
        <v>3.2099999999999997E-2</v>
      </c>
    </row>
    <row r="126" spans="1:12" ht="15.75" customHeight="1">
      <c r="A126" s="5">
        <v>41030</v>
      </c>
      <c r="B126" s="6">
        <v>0.16</v>
      </c>
      <c r="C126" s="24">
        <v>8.8699999999999992</v>
      </c>
      <c r="D126" s="8">
        <v>1.986</v>
      </c>
      <c r="E126" s="8">
        <v>144.63999999999999</v>
      </c>
      <c r="F126" s="8">
        <v>472.32</v>
      </c>
      <c r="G126" s="8">
        <v>83.043000000000006</v>
      </c>
      <c r="H126" s="8">
        <v>24.06</v>
      </c>
      <c r="I126" s="7">
        <v>5.52</v>
      </c>
      <c r="J126" s="9">
        <v>2.1882000000000001</v>
      </c>
      <c r="K126" s="10">
        <v>1.02</v>
      </c>
      <c r="L126" s="11">
        <v>2.7300000000000001E-2</v>
      </c>
    </row>
    <row r="127" spans="1:12" ht="15.75" customHeight="1">
      <c r="A127" s="5">
        <v>41061</v>
      </c>
      <c r="B127" s="6">
        <v>0.16</v>
      </c>
      <c r="C127" s="24">
        <v>8.39</v>
      </c>
      <c r="D127" s="8">
        <v>2.0497000000000001</v>
      </c>
      <c r="E127" s="8">
        <v>158.63</v>
      </c>
      <c r="F127" s="8">
        <v>475.58</v>
      </c>
      <c r="G127" s="8">
        <v>81.626999999999995</v>
      </c>
      <c r="H127" s="8">
        <v>17.079999999999998</v>
      </c>
      <c r="I127" s="7">
        <v>5.38</v>
      </c>
      <c r="J127" s="9">
        <v>2.2389000000000001</v>
      </c>
      <c r="K127" s="10">
        <v>0.66</v>
      </c>
      <c r="L127" s="11">
        <v>2.5499999999999998E-2</v>
      </c>
    </row>
    <row r="128" spans="1:12" ht="15.75" customHeight="1">
      <c r="A128" s="5">
        <v>41091</v>
      </c>
      <c r="B128" s="6">
        <v>0.16</v>
      </c>
      <c r="C128" s="24">
        <v>8.07</v>
      </c>
      <c r="D128" s="8">
        <v>2.0287000000000002</v>
      </c>
      <c r="E128" s="8">
        <v>145.19</v>
      </c>
      <c r="F128" s="8">
        <v>480.83</v>
      </c>
      <c r="G128" s="8">
        <v>82.635000000000005</v>
      </c>
      <c r="H128" s="8">
        <v>18.93</v>
      </c>
      <c r="I128" s="7">
        <v>5.58</v>
      </c>
      <c r="J128" s="9">
        <v>2.2605</v>
      </c>
      <c r="K128" s="10">
        <v>1.34</v>
      </c>
      <c r="L128" s="11">
        <v>2.5000000000000001E-2</v>
      </c>
    </row>
    <row r="129" spans="1:12" ht="15.75" customHeight="1">
      <c r="A129" s="5">
        <v>41122</v>
      </c>
      <c r="B129" s="6">
        <v>0.13</v>
      </c>
      <c r="C129" s="24">
        <v>7.85</v>
      </c>
      <c r="D129" s="8">
        <v>2.0293999999999999</v>
      </c>
      <c r="E129" s="8">
        <v>128.47</v>
      </c>
      <c r="F129" s="8">
        <v>490.7</v>
      </c>
      <c r="G129" s="8">
        <v>81.207999999999998</v>
      </c>
      <c r="H129" s="8">
        <v>17.47</v>
      </c>
      <c r="I129" s="7">
        <v>5.68</v>
      </c>
      <c r="J129" s="9">
        <v>2.1711</v>
      </c>
      <c r="K129" s="10">
        <v>1.43</v>
      </c>
      <c r="L129" s="11">
        <v>2.5100000000000001E-2</v>
      </c>
    </row>
    <row r="130" spans="1:12" ht="15.75" customHeight="1">
      <c r="A130" s="5">
        <v>41153</v>
      </c>
      <c r="B130" s="6">
        <v>0.14000000000000001</v>
      </c>
      <c r="C130" s="24">
        <v>7.39</v>
      </c>
      <c r="D130" s="8">
        <v>2.0280999999999998</v>
      </c>
      <c r="E130" s="8">
        <v>112.97</v>
      </c>
      <c r="F130" s="8">
        <v>497.31</v>
      </c>
      <c r="G130" s="8">
        <v>79.935000000000002</v>
      </c>
      <c r="H130" s="8">
        <v>15.73</v>
      </c>
      <c r="I130" s="7">
        <v>5.64</v>
      </c>
      <c r="J130" s="9">
        <v>2.2193000000000001</v>
      </c>
      <c r="K130" s="10">
        <v>0.97</v>
      </c>
      <c r="L130" s="11">
        <v>2.35E-2</v>
      </c>
    </row>
    <row r="131" spans="1:12" ht="15.75" customHeight="1">
      <c r="A131" s="5">
        <v>41183</v>
      </c>
      <c r="B131" s="6">
        <v>0.16</v>
      </c>
      <c r="C131" s="24">
        <v>7.23</v>
      </c>
      <c r="D131" s="8">
        <v>2.0297999999999998</v>
      </c>
      <c r="E131" s="8">
        <v>111.21</v>
      </c>
      <c r="F131" s="8">
        <v>476.16</v>
      </c>
      <c r="G131" s="8">
        <v>79.918999999999997</v>
      </c>
      <c r="H131" s="8">
        <v>18.600000000000001</v>
      </c>
      <c r="I131" s="7">
        <v>5.47</v>
      </c>
      <c r="J131" s="9">
        <v>2.2065000000000001</v>
      </c>
      <c r="K131" s="10">
        <v>0.02</v>
      </c>
      <c r="L131" s="11">
        <v>0.02</v>
      </c>
    </row>
    <row r="132" spans="1:12" ht="15.75" customHeight="1">
      <c r="A132" s="5">
        <v>41214</v>
      </c>
      <c r="B132" s="6">
        <v>0.16</v>
      </c>
      <c r="C132" s="24">
        <v>7.14</v>
      </c>
      <c r="D132" s="8">
        <v>2.0678000000000001</v>
      </c>
      <c r="E132" s="8">
        <v>105.33</v>
      </c>
      <c r="F132" s="8">
        <v>483.47</v>
      </c>
      <c r="G132" s="8">
        <v>80.153000000000006</v>
      </c>
      <c r="H132" s="8">
        <v>15.87</v>
      </c>
      <c r="I132" s="7">
        <v>5.36</v>
      </c>
      <c r="J132" s="9">
        <v>2.1957</v>
      </c>
      <c r="K132" s="10">
        <v>-0.03</v>
      </c>
      <c r="L132" s="11">
        <v>2.24E-2</v>
      </c>
    </row>
    <row r="133" spans="1:12" ht="15.75" customHeight="1">
      <c r="A133" s="5">
        <v>41244</v>
      </c>
      <c r="B133" s="6">
        <v>0.16</v>
      </c>
      <c r="C133" s="24">
        <v>7.16</v>
      </c>
      <c r="D133" s="8">
        <v>2.0777999999999999</v>
      </c>
      <c r="E133" s="8">
        <v>107.69</v>
      </c>
      <c r="F133" s="8">
        <v>484.07</v>
      </c>
      <c r="G133" s="8">
        <v>79.769000000000005</v>
      </c>
      <c r="H133" s="8">
        <v>18.02</v>
      </c>
      <c r="I133" s="7">
        <v>5.63</v>
      </c>
      <c r="J133" s="9">
        <v>2.1071</v>
      </c>
      <c r="K133" s="10">
        <v>0.68</v>
      </c>
      <c r="L133" s="11">
        <v>1.9800000000000002E-2</v>
      </c>
    </row>
    <row r="134" spans="1:12" ht="15.75" customHeight="1">
      <c r="A134" s="5">
        <v>41275</v>
      </c>
      <c r="B134" s="6">
        <v>0.14000000000000001</v>
      </c>
      <c r="C134" s="24">
        <v>7.11</v>
      </c>
      <c r="D134" s="8">
        <v>2.0310999999999999</v>
      </c>
      <c r="E134" s="8">
        <v>108.53</v>
      </c>
      <c r="F134" s="8">
        <v>491.52</v>
      </c>
      <c r="G134" s="8">
        <v>79.206999999999994</v>
      </c>
      <c r="H134" s="8">
        <v>14.28</v>
      </c>
      <c r="I134" s="7">
        <v>5.7</v>
      </c>
      <c r="J134" s="9">
        <v>2.0659000000000001</v>
      </c>
      <c r="K134" s="10">
        <v>0.34</v>
      </c>
      <c r="L134" s="11">
        <v>2.12E-2</v>
      </c>
    </row>
    <row r="135" spans="1:12" ht="15.75" customHeight="1">
      <c r="A135" s="5">
        <v>41306</v>
      </c>
      <c r="B135" s="6">
        <v>0.15</v>
      </c>
      <c r="C135" s="24">
        <v>7.12</v>
      </c>
      <c r="D135" s="8">
        <v>1.9733000000000001</v>
      </c>
      <c r="E135" s="8">
        <v>122.87</v>
      </c>
      <c r="F135" s="8">
        <v>477.73</v>
      </c>
      <c r="G135" s="8">
        <v>81.948999999999998</v>
      </c>
      <c r="H135" s="8">
        <v>15.51</v>
      </c>
      <c r="I135" s="7">
        <v>5.5</v>
      </c>
      <c r="J135" s="9">
        <v>2.1436999999999999</v>
      </c>
      <c r="K135" s="10">
        <v>0.28999999999999998</v>
      </c>
      <c r="L135" s="11">
        <v>2.64E-2</v>
      </c>
    </row>
    <row r="136" spans="1:12" ht="15.75" customHeight="1">
      <c r="A136" s="5">
        <v>41334</v>
      </c>
      <c r="B136" s="6">
        <v>0.14000000000000001</v>
      </c>
      <c r="C136" s="24">
        <v>7.15</v>
      </c>
      <c r="D136" s="8">
        <v>1.9827999999999999</v>
      </c>
      <c r="E136" s="8">
        <v>131.16999999999999</v>
      </c>
      <c r="F136" s="8">
        <v>479.78</v>
      </c>
      <c r="G136" s="8">
        <v>82.975999999999999</v>
      </c>
      <c r="H136" s="8">
        <v>12.7</v>
      </c>
      <c r="I136" s="7">
        <v>5.53</v>
      </c>
      <c r="J136" s="9">
        <v>2.0969000000000002</v>
      </c>
      <c r="K136" s="10">
        <v>0.21</v>
      </c>
      <c r="L136" s="11">
        <v>2.8199999999999999E-2</v>
      </c>
    </row>
    <row r="137" spans="1:12" ht="15.75" customHeight="1">
      <c r="A137" s="5">
        <v>41365</v>
      </c>
      <c r="B137" s="6">
        <v>0.15</v>
      </c>
      <c r="C137" s="24">
        <v>7.26</v>
      </c>
      <c r="D137" s="8">
        <v>2.0022000000000002</v>
      </c>
      <c r="E137" s="8">
        <v>121.66</v>
      </c>
      <c r="F137" s="8">
        <v>478.34</v>
      </c>
      <c r="G137" s="8">
        <v>81.745999999999995</v>
      </c>
      <c r="H137" s="8">
        <v>13.52</v>
      </c>
      <c r="I137" s="7">
        <v>5.56</v>
      </c>
      <c r="J137" s="9">
        <v>1.9322999999999999</v>
      </c>
      <c r="K137" s="10">
        <v>0.15</v>
      </c>
      <c r="L137" s="11">
        <v>2.5600000000000001E-2</v>
      </c>
    </row>
    <row r="138" spans="1:12" ht="15.75" customHeight="1">
      <c r="A138" s="5">
        <v>41395</v>
      </c>
      <c r="B138" s="6">
        <v>0.11</v>
      </c>
      <c r="C138" s="24">
        <v>7.42</v>
      </c>
      <c r="D138" s="8">
        <v>2.0348000000000002</v>
      </c>
      <c r="E138" s="8">
        <v>122.9</v>
      </c>
      <c r="F138" s="8">
        <v>472.94</v>
      </c>
      <c r="G138" s="8">
        <v>83.375</v>
      </c>
      <c r="H138" s="8">
        <v>16.3</v>
      </c>
      <c r="I138" s="7">
        <v>5.62</v>
      </c>
      <c r="J138" s="9">
        <v>1.905</v>
      </c>
      <c r="K138" s="10">
        <v>0</v>
      </c>
      <c r="L138" s="11">
        <v>3.27E-2</v>
      </c>
    </row>
    <row r="139" spans="1:12" ht="15.75" customHeight="1">
      <c r="A139" s="5">
        <v>41426</v>
      </c>
      <c r="B139" s="6">
        <v>0.09</v>
      </c>
      <c r="C139" s="24">
        <v>7.9</v>
      </c>
      <c r="D139" s="8">
        <v>2.173</v>
      </c>
      <c r="E139" s="8">
        <v>173.74</v>
      </c>
      <c r="F139" s="8">
        <v>468.12</v>
      </c>
      <c r="G139" s="8">
        <v>83.135999999999996</v>
      </c>
      <c r="H139" s="8">
        <v>16.86</v>
      </c>
      <c r="I139" s="7">
        <v>5.74</v>
      </c>
      <c r="J139" s="9">
        <v>1.8740000000000001</v>
      </c>
      <c r="K139" s="10">
        <v>0.75</v>
      </c>
      <c r="L139" s="11">
        <v>4.19E-2</v>
      </c>
    </row>
    <row r="140" spans="1:12" ht="15.75" customHeight="1">
      <c r="A140" s="5">
        <v>41456</v>
      </c>
      <c r="B140" s="6">
        <v>0.09</v>
      </c>
      <c r="C140" s="24">
        <v>8.23</v>
      </c>
      <c r="D140" s="8">
        <v>2.2522000000000002</v>
      </c>
      <c r="E140" s="8">
        <v>185.57</v>
      </c>
      <c r="F140" s="8">
        <v>467.95</v>
      </c>
      <c r="G140" s="8">
        <v>81.451999999999998</v>
      </c>
      <c r="H140" s="8">
        <v>13.45</v>
      </c>
      <c r="I140" s="7">
        <v>5.66</v>
      </c>
      <c r="J140" s="9">
        <v>1.8653</v>
      </c>
      <c r="K140" s="10">
        <v>0.26</v>
      </c>
      <c r="L140" s="11">
        <v>3.9399999999999998E-2</v>
      </c>
    </row>
    <row r="141" spans="1:12" ht="15.75" customHeight="1">
      <c r="A141" s="5">
        <v>41487</v>
      </c>
      <c r="B141" s="6">
        <v>0.08</v>
      </c>
      <c r="C141" s="24">
        <v>8.4499999999999993</v>
      </c>
      <c r="D141" s="8">
        <v>2.3422000000000001</v>
      </c>
      <c r="E141" s="8">
        <v>195.62</v>
      </c>
      <c r="F141" s="8">
        <v>472.96</v>
      </c>
      <c r="G141" s="8">
        <v>82.087000000000003</v>
      </c>
      <c r="H141" s="8">
        <v>17.010000000000002</v>
      </c>
      <c r="I141" s="7">
        <v>6.06</v>
      </c>
      <c r="J141" s="9">
        <v>1.9117</v>
      </c>
      <c r="K141" s="10">
        <v>0.15</v>
      </c>
      <c r="L141" s="11">
        <v>4.8099999999999997E-2</v>
      </c>
    </row>
    <row r="142" spans="1:12" ht="15.75" customHeight="1">
      <c r="A142" s="5">
        <v>41518</v>
      </c>
      <c r="B142" s="6">
        <v>0.08</v>
      </c>
      <c r="C142" s="24">
        <v>8.9</v>
      </c>
      <c r="D142" s="8">
        <v>2.2705000000000002</v>
      </c>
      <c r="E142" s="8">
        <v>176.78</v>
      </c>
      <c r="F142" s="8">
        <v>467.57</v>
      </c>
      <c r="G142" s="8">
        <v>80.221000000000004</v>
      </c>
      <c r="H142" s="8">
        <v>16.600000000000001</v>
      </c>
      <c r="I142" s="7">
        <v>6.16</v>
      </c>
      <c r="J142" s="9">
        <v>1.8882000000000001</v>
      </c>
      <c r="K142" s="10">
        <v>1.5</v>
      </c>
      <c r="L142" s="11">
        <v>4.3999999999999997E-2</v>
      </c>
    </row>
    <row r="143" spans="1:12" ht="15.75" customHeight="1">
      <c r="A143" s="5">
        <v>41548</v>
      </c>
      <c r="B143" s="6">
        <v>0.09</v>
      </c>
      <c r="C143" s="24">
        <v>9.25</v>
      </c>
      <c r="D143" s="8">
        <v>2.1886000000000001</v>
      </c>
      <c r="E143" s="8">
        <v>160.22</v>
      </c>
      <c r="F143" s="8">
        <v>457.26</v>
      </c>
      <c r="G143" s="8">
        <v>80.194999999999993</v>
      </c>
      <c r="H143" s="8">
        <v>13.75</v>
      </c>
      <c r="I143" s="7">
        <v>6.25</v>
      </c>
      <c r="J143" s="9">
        <v>1.8667</v>
      </c>
      <c r="K143" s="10">
        <v>0.86</v>
      </c>
      <c r="L143" s="11">
        <v>4.4600000000000001E-2</v>
      </c>
    </row>
    <row r="144" spans="1:12" ht="15.75" customHeight="1">
      <c r="A144" s="5">
        <v>41579</v>
      </c>
      <c r="B144" s="6">
        <v>0.08</v>
      </c>
      <c r="C144" s="24">
        <v>9.4499999999999993</v>
      </c>
      <c r="D144" s="8">
        <v>2.2953999999999999</v>
      </c>
      <c r="E144" s="8">
        <v>197.07</v>
      </c>
      <c r="F144" s="8">
        <v>463.15</v>
      </c>
      <c r="G144" s="8">
        <v>80.680000000000007</v>
      </c>
      <c r="H144" s="8">
        <v>13.7</v>
      </c>
      <c r="I144" s="7">
        <v>6.14</v>
      </c>
      <c r="J144" s="9">
        <v>1.891</v>
      </c>
      <c r="K144" s="10">
        <v>0.28999999999999998</v>
      </c>
      <c r="L144" s="11">
        <v>4.99E-2</v>
      </c>
    </row>
    <row r="145" spans="1:12" ht="15.75" customHeight="1">
      <c r="A145" s="5">
        <v>41609</v>
      </c>
      <c r="B145" s="6">
        <v>0.09</v>
      </c>
      <c r="C145" s="24">
        <v>9.9</v>
      </c>
      <c r="D145" s="8">
        <v>2.3454999999999999</v>
      </c>
      <c r="E145" s="8">
        <v>190.42</v>
      </c>
      <c r="F145" s="8">
        <v>456.36</v>
      </c>
      <c r="G145" s="8">
        <v>80.034999999999997</v>
      </c>
      <c r="H145" s="8">
        <v>13.72</v>
      </c>
      <c r="I145" s="7">
        <v>6.11</v>
      </c>
      <c r="J145" s="9">
        <v>1.8724000000000001</v>
      </c>
      <c r="K145" s="10">
        <v>0.6</v>
      </c>
      <c r="L145" s="11">
        <v>5.0099999999999999E-2</v>
      </c>
    </row>
    <row r="146" spans="1:12" ht="15.75" customHeight="1">
      <c r="A146" s="5">
        <v>41640</v>
      </c>
      <c r="B146" s="6">
        <v>7.0000000000000007E-2</v>
      </c>
      <c r="C146" s="24">
        <v>10.17</v>
      </c>
      <c r="D146" s="8">
        <v>2.3822000000000001</v>
      </c>
      <c r="E146" s="8">
        <v>198.22</v>
      </c>
      <c r="F146" s="8">
        <v>457.98</v>
      </c>
      <c r="G146" s="8">
        <v>81.311000000000007</v>
      </c>
      <c r="H146" s="8">
        <v>18.41</v>
      </c>
      <c r="I146" s="7">
        <v>6.02</v>
      </c>
      <c r="J146" s="9">
        <v>1.8219000000000001</v>
      </c>
      <c r="K146" s="10">
        <v>0.48</v>
      </c>
      <c r="L146" s="11">
        <v>5.9700000000000003E-2</v>
      </c>
    </row>
    <row r="147" spans="1:12" ht="15.75" customHeight="1">
      <c r="A147" s="5">
        <v>41671</v>
      </c>
      <c r="B147" s="6">
        <v>7.0000000000000007E-2</v>
      </c>
      <c r="C147" s="24">
        <v>10.43</v>
      </c>
      <c r="D147" s="8">
        <v>2.3837000000000002</v>
      </c>
      <c r="E147" s="8">
        <v>184.9</v>
      </c>
      <c r="F147" s="8">
        <v>478.54</v>
      </c>
      <c r="G147" s="8">
        <v>79.691000000000003</v>
      </c>
      <c r="H147" s="8">
        <v>14</v>
      </c>
      <c r="I147" s="7">
        <v>6.17</v>
      </c>
      <c r="J147" s="9">
        <v>1.7891999999999999</v>
      </c>
      <c r="K147" s="10">
        <v>0.38</v>
      </c>
      <c r="L147" s="11">
        <v>5.3400000000000003E-2</v>
      </c>
    </row>
    <row r="148" spans="1:12" ht="15.75" customHeight="1">
      <c r="A148" s="5">
        <v>41699</v>
      </c>
      <c r="B148" s="6">
        <v>0.08</v>
      </c>
      <c r="C148" s="24">
        <v>10.65</v>
      </c>
      <c r="D148" s="8">
        <v>2.3260999999999998</v>
      </c>
      <c r="E148" s="8">
        <v>173.22</v>
      </c>
      <c r="F148" s="8">
        <v>493.68</v>
      </c>
      <c r="G148" s="8">
        <v>80.099999999999994</v>
      </c>
      <c r="H148" s="8">
        <v>13.88</v>
      </c>
      <c r="I148" s="7">
        <v>6.42</v>
      </c>
      <c r="J148" s="9">
        <v>1.8213999999999999</v>
      </c>
      <c r="K148" s="10">
        <v>1.67</v>
      </c>
      <c r="L148" s="11">
        <v>5.3600000000000002E-2</v>
      </c>
    </row>
    <row r="149" spans="1:12" ht="15.75" customHeight="1">
      <c r="A149" s="5">
        <v>41730</v>
      </c>
      <c r="B149" s="6">
        <v>0.09</v>
      </c>
      <c r="C149" s="24">
        <v>10.87</v>
      </c>
      <c r="D149" s="8">
        <v>2.2328000000000001</v>
      </c>
      <c r="E149" s="8">
        <v>157.72999999999999</v>
      </c>
      <c r="F149" s="8">
        <v>501.35</v>
      </c>
      <c r="G149" s="8">
        <v>79.474000000000004</v>
      </c>
      <c r="H149" s="8">
        <v>13.41</v>
      </c>
      <c r="I149" s="7">
        <v>6.22</v>
      </c>
      <c r="J149" s="9">
        <v>2.0257000000000001</v>
      </c>
      <c r="K149" s="10">
        <v>0.78</v>
      </c>
      <c r="L149" s="11">
        <v>5.28E-2</v>
      </c>
    </row>
    <row r="150" spans="1:12" ht="15.75" customHeight="1">
      <c r="A150" s="5">
        <v>41760</v>
      </c>
      <c r="B150" s="6">
        <v>0.09</v>
      </c>
      <c r="C150" s="24">
        <v>10.9</v>
      </c>
      <c r="D150" s="8">
        <v>2.2208999999999999</v>
      </c>
      <c r="E150" s="8">
        <v>149.24</v>
      </c>
      <c r="F150" s="8">
        <v>497.99</v>
      </c>
      <c r="G150" s="8">
        <v>80.369</v>
      </c>
      <c r="H150" s="8">
        <v>11.4</v>
      </c>
      <c r="I150" s="7">
        <v>6.03</v>
      </c>
      <c r="J150" s="9">
        <v>2.1274999999999999</v>
      </c>
      <c r="K150" s="10">
        <v>-0.13</v>
      </c>
      <c r="L150" s="11">
        <v>5.0099999999999999E-2</v>
      </c>
    </row>
    <row r="151" spans="1:12" ht="15.75" customHeight="1">
      <c r="A151" s="5">
        <v>41791</v>
      </c>
      <c r="B151" s="6">
        <v>0.1</v>
      </c>
      <c r="C151" s="24">
        <v>10.9</v>
      </c>
      <c r="D151" s="8">
        <v>2.2355</v>
      </c>
      <c r="E151" s="8">
        <v>139.59</v>
      </c>
      <c r="F151" s="8">
        <v>496.4</v>
      </c>
      <c r="G151" s="8">
        <v>79.775000000000006</v>
      </c>
      <c r="H151" s="8">
        <v>11.57</v>
      </c>
      <c r="I151" s="7">
        <v>6.01</v>
      </c>
      <c r="J151" s="9">
        <v>2.1427</v>
      </c>
      <c r="K151" s="10">
        <v>-0.74</v>
      </c>
      <c r="L151" s="11">
        <v>4.9200000000000001E-2</v>
      </c>
    </row>
    <row r="152" spans="1:12" ht="15.75" customHeight="1">
      <c r="A152" s="5">
        <v>41821</v>
      </c>
      <c r="B152" s="6">
        <v>0.09</v>
      </c>
      <c r="C152" s="24">
        <v>10.9</v>
      </c>
      <c r="D152" s="8">
        <v>2.2237</v>
      </c>
      <c r="E152" s="8">
        <v>144.4</v>
      </c>
      <c r="F152" s="8">
        <v>488.47</v>
      </c>
      <c r="G152" s="8">
        <v>81.456000000000003</v>
      </c>
      <c r="H152" s="8">
        <v>16.95</v>
      </c>
      <c r="I152" s="7">
        <v>5.95</v>
      </c>
      <c r="J152" s="9">
        <v>2.0983000000000001</v>
      </c>
      <c r="K152" s="10">
        <v>-0.61</v>
      </c>
      <c r="L152" s="11">
        <v>5.6599999999999998E-2</v>
      </c>
    </row>
    <row r="153" spans="1:12" ht="15.75" customHeight="1">
      <c r="A153" s="5">
        <v>41852</v>
      </c>
      <c r="B153" s="6">
        <v>0.09</v>
      </c>
      <c r="C153" s="24">
        <v>10.9</v>
      </c>
      <c r="D153" s="8">
        <v>2.2679999999999998</v>
      </c>
      <c r="E153" s="8">
        <v>149.31</v>
      </c>
      <c r="F153" s="8">
        <v>483.83</v>
      </c>
      <c r="G153" s="8">
        <v>82.748000000000005</v>
      </c>
      <c r="H153" s="8">
        <v>11.98</v>
      </c>
      <c r="I153" s="7">
        <v>6.15</v>
      </c>
      <c r="J153" s="9">
        <v>1.9590000000000001</v>
      </c>
      <c r="K153" s="10">
        <v>-0.27</v>
      </c>
      <c r="L153" s="11">
        <v>4.6600000000000003E-2</v>
      </c>
    </row>
    <row r="154" spans="1:12" ht="15.75" customHeight="1">
      <c r="A154" s="5">
        <v>41883</v>
      </c>
      <c r="B154" s="6">
        <v>0.09</v>
      </c>
      <c r="C154" s="24">
        <v>10.9</v>
      </c>
      <c r="D154" s="8">
        <v>2.3329</v>
      </c>
      <c r="E154" s="8">
        <v>143.81</v>
      </c>
      <c r="F154" s="8">
        <v>473.42</v>
      </c>
      <c r="G154" s="8">
        <v>85.936000000000007</v>
      </c>
      <c r="H154" s="8">
        <v>16.309999999999999</v>
      </c>
      <c r="I154" s="7">
        <v>6.33</v>
      </c>
      <c r="J154" s="9">
        <v>1.9501999999999999</v>
      </c>
      <c r="K154" s="10">
        <v>0.2</v>
      </c>
      <c r="L154" s="11">
        <v>5.3900000000000003E-2</v>
      </c>
    </row>
    <row r="155" spans="1:12" ht="15.75" customHeight="1">
      <c r="A155" s="5">
        <v>41913</v>
      </c>
      <c r="B155" s="6">
        <v>0.09</v>
      </c>
      <c r="C155" s="24">
        <v>10.92</v>
      </c>
      <c r="D155" s="8">
        <v>2.4483000000000001</v>
      </c>
      <c r="E155" s="8">
        <v>162.12</v>
      </c>
      <c r="F155" s="8">
        <v>458.92</v>
      </c>
      <c r="G155" s="8">
        <v>86.917000000000002</v>
      </c>
      <c r="H155" s="8">
        <v>14.03</v>
      </c>
      <c r="I155" s="7">
        <v>6.41</v>
      </c>
      <c r="J155" s="9">
        <v>2.0015000000000001</v>
      </c>
      <c r="K155" s="10">
        <v>0.28000000000000003</v>
      </c>
      <c r="L155" s="11">
        <v>5.4300000000000001E-2</v>
      </c>
    </row>
    <row r="156" spans="1:12" ht="15.75" customHeight="1">
      <c r="A156" s="5">
        <v>41944</v>
      </c>
      <c r="B156" s="6">
        <v>0.09</v>
      </c>
      <c r="C156" s="24">
        <v>11.15</v>
      </c>
      <c r="D156" s="8">
        <v>2.5484</v>
      </c>
      <c r="E156" s="8">
        <v>167.94</v>
      </c>
      <c r="F156" s="8">
        <v>454.64</v>
      </c>
      <c r="G156" s="8">
        <v>88.355999999999995</v>
      </c>
      <c r="H156" s="8">
        <v>13.33</v>
      </c>
      <c r="I156" s="7">
        <v>6.56</v>
      </c>
      <c r="J156" s="9">
        <v>1.9991000000000001</v>
      </c>
      <c r="K156" s="10">
        <v>0.98</v>
      </c>
      <c r="L156" s="11">
        <v>5.21E-2</v>
      </c>
    </row>
    <row r="157" spans="1:12" ht="15.75" customHeight="1">
      <c r="A157" s="5">
        <v>41974</v>
      </c>
      <c r="B157" s="6">
        <v>0.12</v>
      </c>
      <c r="C157" s="24">
        <v>11.58</v>
      </c>
      <c r="D157" s="8">
        <v>2.6394000000000002</v>
      </c>
      <c r="E157" s="8">
        <v>188.82</v>
      </c>
      <c r="F157" s="8">
        <v>437.75</v>
      </c>
      <c r="G157" s="8">
        <v>90.269000000000005</v>
      </c>
      <c r="H157" s="8">
        <v>19.2</v>
      </c>
      <c r="I157" s="7">
        <v>6.73</v>
      </c>
      <c r="J157" s="9">
        <v>1.9612000000000001</v>
      </c>
      <c r="K157" s="10">
        <v>0.62</v>
      </c>
      <c r="L157" s="11">
        <v>5.6899999999999999E-2</v>
      </c>
    </row>
    <row r="158" spans="1:12" ht="15.75" customHeight="1">
      <c r="A158" s="5">
        <v>42005</v>
      </c>
      <c r="B158" s="6">
        <v>0.11</v>
      </c>
      <c r="C158" s="24">
        <v>11.82</v>
      </c>
      <c r="D158" s="8">
        <v>2.6343000000000001</v>
      </c>
      <c r="E158" s="8">
        <v>208.39</v>
      </c>
      <c r="F158" s="8">
        <v>424</v>
      </c>
      <c r="G158" s="8">
        <v>94.804000000000002</v>
      </c>
      <c r="H158" s="8">
        <v>20.97</v>
      </c>
      <c r="I158" s="7">
        <v>6.97</v>
      </c>
      <c r="J158" s="9">
        <v>1.9763999999999999</v>
      </c>
      <c r="K158" s="10">
        <v>0.76</v>
      </c>
      <c r="L158" s="11">
        <v>5.16E-2</v>
      </c>
    </row>
    <row r="159" spans="1:12" ht="15.75" customHeight="1">
      <c r="A159" s="5">
        <v>42036</v>
      </c>
      <c r="B159" s="6">
        <v>0.11</v>
      </c>
      <c r="C159" s="24">
        <v>12.15</v>
      </c>
      <c r="D159" s="8">
        <v>2.8165</v>
      </c>
      <c r="E159" s="8">
        <v>242.90600000000001</v>
      </c>
      <c r="F159" s="8">
        <v>421</v>
      </c>
      <c r="G159" s="8">
        <v>95.293000000000006</v>
      </c>
      <c r="H159" s="8">
        <v>13.34</v>
      </c>
      <c r="I159" s="7">
        <v>6.88</v>
      </c>
      <c r="J159" s="9">
        <v>1.9724999999999999</v>
      </c>
      <c r="K159" s="10">
        <v>0.27</v>
      </c>
      <c r="L159" s="11">
        <v>5.4199999999999998E-2</v>
      </c>
    </row>
    <row r="160" spans="1:12" ht="15.75" customHeight="1">
      <c r="A160" s="5">
        <v>42064</v>
      </c>
      <c r="B160" s="6">
        <v>0.11</v>
      </c>
      <c r="C160" s="24">
        <v>12.58</v>
      </c>
      <c r="D160" s="8">
        <v>3.1395</v>
      </c>
      <c r="E160" s="8">
        <v>282.70499999999998</v>
      </c>
      <c r="F160" s="8">
        <v>418</v>
      </c>
      <c r="G160" s="8">
        <v>98.356999999999999</v>
      </c>
      <c r="H160" s="8">
        <v>15.29</v>
      </c>
      <c r="I160" s="7">
        <v>7.01</v>
      </c>
      <c r="J160" s="9">
        <v>1.9896</v>
      </c>
      <c r="K160" s="10">
        <v>0.98</v>
      </c>
      <c r="L160" s="11">
        <v>5.8599999999999999E-2</v>
      </c>
    </row>
    <row r="161" spans="1:12" ht="15.75" customHeight="1">
      <c r="A161" s="5">
        <v>42095</v>
      </c>
      <c r="B161" s="6">
        <v>0.12</v>
      </c>
      <c r="C161" s="24">
        <v>12.68</v>
      </c>
      <c r="D161" s="8">
        <v>3.0432000000000001</v>
      </c>
      <c r="E161" s="8">
        <v>234.34100000000001</v>
      </c>
      <c r="F161" s="8">
        <v>415</v>
      </c>
      <c r="G161" s="8">
        <v>94.6</v>
      </c>
      <c r="H161" s="8">
        <v>14.55</v>
      </c>
      <c r="I161" s="7">
        <v>6.17</v>
      </c>
      <c r="J161" s="9">
        <v>2.0537000000000001</v>
      </c>
      <c r="K161" s="10">
        <v>1.17</v>
      </c>
      <c r="L161" s="11">
        <v>6.4299999999999996E-2</v>
      </c>
    </row>
    <row r="162" spans="1:12" ht="15.75" customHeight="1">
      <c r="A162" s="5">
        <v>42125</v>
      </c>
      <c r="B162" s="6">
        <v>0.12</v>
      </c>
      <c r="C162" s="24">
        <v>13.15</v>
      </c>
      <c r="D162" s="8">
        <v>3.0617000000000001</v>
      </c>
      <c r="E162" s="8">
        <v>235.49600000000001</v>
      </c>
      <c r="F162" s="8">
        <v>425</v>
      </c>
      <c r="G162" s="8">
        <v>96.906999999999996</v>
      </c>
      <c r="H162" s="8">
        <v>13.84</v>
      </c>
      <c r="I162" s="7">
        <v>6.11</v>
      </c>
      <c r="J162" s="9">
        <v>2.0566</v>
      </c>
      <c r="K162" s="10">
        <v>0.41</v>
      </c>
      <c r="L162" s="11">
        <v>6.3899999999999998E-2</v>
      </c>
    </row>
    <row r="163" spans="1:12" ht="15.75" customHeight="1">
      <c r="A163" s="5">
        <v>42156</v>
      </c>
      <c r="B163" s="6">
        <v>0.13</v>
      </c>
      <c r="C163" s="24">
        <v>13.58</v>
      </c>
      <c r="D163" s="8">
        <v>3.1116999999999999</v>
      </c>
      <c r="E163" s="8">
        <v>259.89</v>
      </c>
      <c r="F163" s="8">
        <v>424</v>
      </c>
      <c r="G163" s="8">
        <v>95.484999999999999</v>
      </c>
      <c r="H163" s="8">
        <v>18.23</v>
      </c>
      <c r="I163" s="7">
        <v>6.38</v>
      </c>
      <c r="J163" s="9">
        <v>2.1036999999999999</v>
      </c>
      <c r="K163" s="10">
        <v>0.67</v>
      </c>
      <c r="L163" s="11">
        <v>6.7299999999999999E-2</v>
      </c>
    </row>
    <row r="164" spans="1:12" ht="15.75" customHeight="1">
      <c r="A164" s="5">
        <v>42186</v>
      </c>
      <c r="B164" s="6">
        <v>0.13</v>
      </c>
      <c r="C164" s="24">
        <v>13.69</v>
      </c>
      <c r="D164" s="8">
        <v>3.2231000000000001</v>
      </c>
      <c r="E164" s="8">
        <v>292.66500000000002</v>
      </c>
      <c r="F164" s="8">
        <v>416</v>
      </c>
      <c r="G164" s="8">
        <v>97.335999999999999</v>
      </c>
      <c r="H164" s="8">
        <v>12.12</v>
      </c>
      <c r="I164" s="7">
        <v>5.98</v>
      </c>
      <c r="J164" s="9">
        <v>2.1305000000000001</v>
      </c>
      <c r="K164" s="10">
        <v>0.69</v>
      </c>
      <c r="L164" s="11">
        <v>6.4500000000000002E-2</v>
      </c>
    </row>
    <row r="165" spans="1:12" ht="15.75" customHeight="1">
      <c r="A165" s="5">
        <v>42217</v>
      </c>
      <c r="B165" s="6">
        <v>0.14000000000000001</v>
      </c>
      <c r="C165" s="24">
        <v>14.15</v>
      </c>
      <c r="D165" s="8">
        <v>3.5143</v>
      </c>
      <c r="E165" s="8">
        <v>350.77199999999999</v>
      </c>
      <c r="F165" s="8">
        <v>408</v>
      </c>
      <c r="G165" s="8">
        <v>95.82</v>
      </c>
      <c r="H165" s="8">
        <v>28</v>
      </c>
      <c r="I165" s="7">
        <v>5.66</v>
      </c>
      <c r="J165" s="9">
        <v>2.1692</v>
      </c>
      <c r="K165" s="10">
        <v>0.28000000000000003</v>
      </c>
      <c r="L165" s="11">
        <v>7.6700000000000004E-2</v>
      </c>
    </row>
    <row r="166" spans="1:12" ht="15.75" customHeight="1">
      <c r="A166" s="5">
        <v>42248</v>
      </c>
      <c r="B166" s="6">
        <v>0.14000000000000001</v>
      </c>
      <c r="C166" s="24">
        <v>14.15</v>
      </c>
      <c r="D166" s="8">
        <v>3.9064999999999999</v>
      </c>
      <c r="E166" s="8">
        <v>416</v>
      </c>
      <c r="F166" s="8">
        <v>406</v>
      </c>
      <c r="G166" s="8">
        <v>96.35</v>
      </c>
      <c r="H166" s="8">
        <v>24</v>
      </c>
      <c r="I166" s="7">
        <v>6.15</v>
      </c>
      <c r="J166" s="9">
        <v>2.2685</v>
      </c>
      <c r="K166" s="10">
        <v>0.95</v>
      </c>
      <c r="L166" s="11">
        <v>8.9599999999999999E-2</v>
      </c>
    </row>
    <row r="167" spans="1:12" ht="15.75" customHeight="1">
      <c r="A167" s="5">
        <v>42278</v>
      </c>
      <c r="B167" s="6">
        <v>0.12</v>
      </c>
      <c r="C167" s="24">
        <v>14.15</v>
      </c>
      <c r="D167" s="8">
        <v>3.8801000000000001</v>
      </c>
      <c r="E167" s="8">
        <v>441</v>
      </c>
      <c r="F167" s="8">
        <v>397</v>
      </c>
      <c r="G167" s="8">
        <v>96.95</v>
      </c>
      <c r="H167" s="8">
        <v>15.07</v>
      </c>
      <c r="I167" s="7">
        <v>6.72</v>
      </c>
      <c r="J167" s="9">
        <v>2.3355000000000001</v>
      </c>
      <c r="K167" s="10">
        <v>1.89</v>
      </c>
      <c r="L167" s="11">
        <v>8.4599999999999995E-2</v>
      </c>
    </row>
    <row r="168" spans="1:12" ht="15.75" customHeight="1">
      <c r="A168" s="5">
        <v>42309</v>
      </c>
      <c r="B168" s="6">
        <v>0.12</v>
      </c>
      <c r="C168" s="24">
        <v>14.15</v>
      </c>
      <c r="D168" s="8">
        <v>3.7765</v>
      </c>
      <c r="E168" s="8">
        <v>414</v>
      </c>
      <c r="F168" s="8">
        <v>386</v>
      </c>
      <c r="G168" s="8">
        <v>100.17</v>
      </c>
      <c r="H168" s="8">
        <v>16.13</v>
      </c>
      <c r="I168" s="7">
        <v>7.16</v>
      </c>
      <c r="J168" s="9">
        <v>2.3946000000000001</v>
      </c>
      <c r="K168" s="10">
        <v>1.52</v>
      </c>
      <c r="L168" s="11">
        <v>8.3199999999999996E-2</v>
      </c>
    </row>
    <row r="169" spans="1:12" ht="15.75" customHeight="1">
      <c r="A169" s="5">
        <v>42339</v>
      </c>
      <c r="B169" s="6">
        <v>0.24</v>
      </c>
      <c r="C169" s="24">
        <v>14.15</v>
      </c>
      <c r="D169" s="8">
        <v>3.8711000000000002</v>
      </c>
      <c r="E169" s="8">
        <v>474</v>
      </c>
      <c r="F169" s="8">
        <v>378</v>
      </c>
      <c r="G169" s="8">
        <v>98.63</v>
      </c>
      <c r="H169" s="8">
        <v>18.21</v>
      </c>
      <c r="I169" s="7">
        <v>7.19</v>
      </c>
      <c r="J169" s="9">
        <v>2.4375</v>
      </c>
      <c r="K169" s="10">
        <v>0.49</v>
      </c>
      <c r="L169" s="11">
        <v>8.43E-2</v>
      </c>
    </row>
    <row r="170" spans="1:12" ht="15.75" customHeight="1">
      <c r="A170" s="5">
        <v>42370</v>
      </c>
      <c r="B170" s="6">
        <v>0.34</v>
      </c>
      <c r="C170" s="24">
        <v>14.15</v>
      </c>
      <c r="D170" s="8">
        <v>4.0523999999999996</v>
      </c>
      <c r="E170" s="8">
        <v>488</v>
      </c>
      <c r="F170" s="8">
        <v>378</v>
      </c>
      <c r="G170" s="8">
        <v>99.6</v>
      </c>
      <c r="H170" s="8">
        <v>20</v>
      </c>
      <c r="I170" s="7">
        <v>7.29</v>
      </c>
      <c r="J170" s="9">
        <v>2.4609000000000001</v>
      </c>
      <c r="K170" s="10">
        <v>1.1399999999999999</v>
      </c>
      <c r="L170" s="11">
        <v>7.2800000000000004E-2</v>
      </c>
    </row>
    <row r="171" spans="1:12" ht="15.75" customHeight="1">
      <c r="A171" s="5">
        <v>42401</v>
      </c>
      <c r="B171" s="6">
        <v>0.38</v>
      </c>
      <c r="C171" s="24">
        <v>14.15</v>
      </c>
      <c r="D171" s="8">
        <v>3.9737</v>
      </c>
      <c r="E171" s="8">
        <v>475</v>
      </c>
      <c r="F171" s="8">
        <v>385</v>
      </c>
      <c r="G171" s="8">
        <v>98.21</v>
      </c>
      <c r="H171" s="8">
        <v>20.05</v>
      </c>
      <c r="I171" s="7">
        <v>7.01</v>
      </c>
      <c r="J171" s="9">
        <v>2.5383</v>
      </c>
      <c r="K171" s="10">
        <v>1.29</v>
      </c>
      <c r="L171" s="11">
        <v>6.9099999999999995E-2</v>
      </c>
    </row>
    <row r="172" spans="1:12" ht="15.75" customHeight="1">
      <c r="A172" s="5">
        <v>42430</v>
      </c>
      <c r="B172" s="6">
        <v>0.36</v>
      </c>
      <c r="C172" s="24">
        <v>14.15</v>
      </c>
      <c r="D172" s="8">
        <v>3.7039</v>
      </c>
      <c r="E172" s="8">
        <v>397</v>
      </c>
      <c r="F172" s="8">
        <v>396</v>
      </c>
      <c r="G172" s="8">
        <v>94.58</v>
      </c>
      <c r="H172" s="8">
        <v>13.95</v>
      </c>
      <c r="I172" s="7">
        <v>6.52</v>
      </c>
      <c r="J172" s="9">
        <v>2.5261999999999998</v>
      </c>
      <c r="K172" s="10">
        <v>0.51</v>
      </c>
      <c r="L172" s="11">
        <v>6.4100000000000004E-2</v>
      </c>
    </row>
    <row r="173" spans="1:12" ht="15.75" customHeight="1">
      <c r="A173" s="5">
        <v>42461</v>
      </c>
      <c r="B173" s="6">
        <v>0.37</v>
      </c>
      <c r="C173" s="24">
        <v>14.15</v>
      </c>
      <c r="D173" s="8">
        <v>3.5657999999999999</v>
      </c>
      <c r="E173" s="8">
        <v>357</v>
      </c>
      <c r="F173" s="8">
        <v>410</v>
      </c>
      <c r="G173" s="8">
        <v>93.081999999999994</v>
      </c>
      <c r="H173" s="8">
        <v>15.7</v>
      </c>
      <c r="I173" s="7">
        <v>6.21</v>
      </c>
      <c r="J173" s="9">
        <v>2.5314000000000001</v>
      </c>
      <c r="K173" s="10">
        <v>0.33</v>
      </c>
      <c r="L173" s="11">
        <v>5.7099999999999998E-2</v>
      </c>
    </row>
    <row r="174" spans="1:12" ht="15.75" customHeight="1">
      <c r="A174" s="5">
        <v>42491</v>
      </c>
      <c r="B174" s="6">
        <v>0.37</v>
      </c>
      <c r="C174" s="24">
        <v>14.15</v>
      </c>
      <c r="D174" s="8">
        <v>3.5428000000000002</v>
      </c>
      <c r="E174" s="8">
        <v>343</v>
      </c>
      <c r="F174" s="8">
        <v>413</v>
      </c>
      <c r="G174" s="8">
        <v>95.89</v>
      </c>
      <c r="H174" s="8">
        <v>14.19</v>
      </c>
      <c r="I174" s="7">
        <v>6.17</v>
      </c>
      <c r="J174" s="9">
        <v>2.5657000000000001</v>
      </c>
      <c r="K174" s="10">
        <v>0.82</v>
      </c>
      <c r="L174" s="11">
        <v>6.0699999999999997E-2</v>
      </c>
    </row>
    <row r="175" spans="1:12" ht="15.75" customHeight="1">
      <c r="A175" s="5">
        <v>42522</v>
      </c>
      <c r="B175" s="6">
        <v>0.38</v>
      </c>
      <c r="C175" s="24">
        <v>14.15</v>
      </c>
      <c r="D175" s="8">
        <v>3.4245000000000001</v>
      </c>
      <c r="E175" s="8">
        <v>338</v>
      </c>
      <c r="F175" s="8">
        <v>417</v>
      </c>
      <c r="G175" s="8">
        <v>96.143000000000001</v>
      </c>
      <c r="H175" s="8">
        <v>15.23</v>
      </c>
      <c r="I175" s="7">
        <v>6.01</v>
      </c>
      <c r="J175" s="9">
        <v>2.5636000000000001</v>
      </c>
      <c r="K175" s="10">
        <v>1.69</v>
      </c>
      <c r="L175" s="11">
        <v>6.08E-2</v>
      </c>
    </row>
    <row r="176" spans="1:12" ht="15.75" customHeight="1">
      <c r="A176" s="5">
        <v>42552</v>
      </c>
      <c r="B176" s="6">
        <v>0.39</v>
      </c>
      <c r="C176" s="24">
        <v>14.15</v>
      </c>
      <c r="D176" s="8">
        <v>3.2755999999999998</v>
      </c>
      <c r="E176" s="8">
        <v>299</v>
      </c>
      <c r="F176" s="8">
        <v>416</v>
      </c>
      <c r="G176" s="8">
        <v>95.53</v>
      </c>
      <c r="H176" s="8">
        <v>12.72</v>
      </c>
      <c r="I176" s="7">
        <v>5.7</v>
      </c>
      <c r="J176" s="9">
        <v>2.5697000000000001</v>
      </c>
      <c r="K176" s="10">
        <v>0.18</v>
      </c>
      <c r="L176" s="11">
        <v>6.1199999999999997E-2</v>
      </c>
    </row>
    <row r="177" spans="1:12" ht="15.75" customHeight="1">
      <c r="A177" s="5">
        <v>42583</v>
      </c>
      <c r="B177" s="6">
        <v>0.4</v>
      </c>
      <c r="C177" s="24">
        <v>14.15</v>
      </c>
      <c r="D177" s="8">
        <v>3.22</v>
      </c>
      <c r="E177" s="8">
        <v>260</v>
      </c>
      <c r="F177" s="8">
        <v>411.48</v>
      </c>
      <c r="G177" s="8">
        <v>95.58</v>
      </c>
      <c r="H177" s="8">
        <v>12.94</v>
      </c>
      <c r="I177" s="7">
        <v>5.44</v>
      </c>
      <c r="J177" s="9">
        <v>2.7162999999999999</v>
      </c>
      <c r="K177" s="10">
        <v>0.15</v>
      </c>
      <c r="L177" s="11">
        <v>6.3299999999999995E-2</v>
      </c>
    </row>
    <row r="178" spans="1:12" ht="15.75" customHeight="1">
      <c r="A178" s="5">
        <v>42614</v>
      </c>
      <c r="B178" s="6">
        <v>0.4</v>
      </c>
      <c r="C178" s="24">
        <v>14.15</v>
      </c>
      <c r="D178" s="8">
        <v>3.26</v>
      </c>
      <c r="E178" s="8">
        <v>273</v>
      </c>
      <c r="F178" s="8">
        <v>418.76</v>
      </c>
      <c r="G178" s="8">
        <v>95.53</v>
      </c>
      <c r="H178" s="8">
        <v>14.5</v>
      </c>
      <c r="I178" s="7">
        <v>5.07</v>
      </c>
      <c r="J178" s="9">
        <v>2.6248</v>
      </c>
      <c r="K178" s="10">
        <v>0.2</v>
      </c>
      <c r="L178" s="11">
        <v>0.06</v>
      </c>
    </row>
    <row r="179" spans="1:12" ht="15.75" customHeight="1">
      <c r="A179" s="5">
        <v>42644</v>
      </c>
      <c r="B179" s="6">
        <v>0.4</v>
      </c>
      <c r="C179" s="24">
        <v>14.05</v>
      </c>
      <c r="D179" s="8">
        <v>3.19</v>
      </c>
      <c r="E179" s="8">
        <v>274</v>
      </c>
      <c r="F179" s="8">
        <v>421.78</v>
      </c>
      <c r="G179" s="8">
        <v>98.88</v>
      </c>
      <c r="H179" s="8">
        <v>17.059999999999999</v>
      </c>
      <c r="I179" s="7">
        <v>4.87</v>
      </c>
      <c r="J179" s="9">
        <v>2.5023</v>
      </c>
      <c r="K179" s="10">
        <v>0.16</v>
      </c>
      <c r="L179" s="11">
        <v>6.0999999999999999E-2</v>
      </c>
    </row>
    <row r="180" spans="1:12" ht="15.75" customHeight="1">
      <c r="A180" s="5">
        <v>42675</v>
      </c>
      <c r="B180" s="6">
        <v>0.41</v>
      </c>
      <c r="C180" s="24">
        <v>13.9</v>
      </c>
      <c r="D180" s="8">
        <v>3.38</v>
      </c>
      <c r="E180" s="8">
        <v>297</v>
      </c>
      <c r="F180" s="8">
        <v>450.72</v>
      </c>
      <c r="G180" s="8">
        <v>100.33</v>
      </c>
      <c r="H180" s="8">
        <v>12.9</v>
      </c>
      <c r="I180" s="7">
        <v>4.8</v>
      </c>
      <c r="J180" s="9">
        <v>2.5186000000000002</v>
      </c>
      <c r="K180" s="10">
        <v>-0.03</v>
      </c>
      <c r="L180" s="11">
        <v>6.2100000000000002E-2</v>
      </c>
    </row>
    <row r="181" spans="1:12" ht="15.75" customHeight="1">
      <c r="A181" s="5">
        <v>42705</v>
      </c>
      <c r="B181" s="6">
        <v>0.54</v>
      </c>
      <c r="C181" s="24">
        <v>13.65</v>
      </c>
      <c r="D181" s="8">
        <v>3.25</v>
      </c>
      <c r="E181" s="8">
        <v>270</v>
      </c>
      <c r="F181" s="8">
        <v>450.49</v>
      </c>
      <c r="G181" s="8">
        <v>103.3</v>
      </c>
      <c r="H181" s="8">
        <v>14.04</v>
      </c>
      <c r="I181" s="7">
        <v>4.6900000000000004</v>
      </c>
      <c r="J181" s="9">
        <v>2.5853000000000002</v>
      </c>
      <c r="K181" s="10">
        <v>0.54</v>
      </c>
      <c r="L181" s="11">
        <v>5.8000000000000003E-2</v>
      </c>
    </row>
    <row r="182" spans="1:12" ht="15.75" customHeight="1">
      <c r="A182" s="5">
        <v>42736</v>
      </c>
      <c r="B182" s="6">
        <v>0.65</v>
      </c>
      <c r="C182" s="24">
        <v>13.17</v>
      </c>
      <c r="D182" s="8">
        <v>3.14</v>
      </c>
      <c r="E182" s="8">
        <v>250</v>
      </c>
      <c r="F182" s="8">
        <v>463.79</v>
      </c>
      <c r="G182" s="8">
        <v>100.43</v>
      </c>
      <c r="H182" s="8">
        <v>11.99</v>
      </c>
      <c r="I182" s="7">
        <v>4.71</v>
      </c>
      <c r="J182" s="9">
        <v>2.6516999999999999</v>
      </c>
      <c r="K182" s="10">
        <v>0.64</v>
      </c>
      <c r="L182" s="11">
        <v>5.2299999999999999E-2</v>
      </c>
    </row>
    <row r="183" spans="1:12" ht="15.75" customHeight="1">
      <c r="A183" s="5">
        <v>42767</v>
      </c>
      <c r="B183" s="6">
        <v>0.66</v>
      </c>
      <c r="C183" s="24">
        <v>12.82</v>
      </c>
      <c r="D183" s="8">
        <v>3.11</v>
      </c>
      <c r="E183" s="8">
        <v>223</v>
      </c>
      <c r="F183" s="8">
        <v>462.23</v>
      </c>
      <c r="G183" s="8">
        <v>101.12</v>
      </c>
      <c r="H183" s="8">
        <v>12.92</v>
      </c>
      <c r="I183" s="7">
        <v>4.53</v>
      </c>
      <c r="J183" s="9">
        <v>2.6646000000000001</v>
      </c>
      <c r="K183" s="10">
        <v>0.08</v>
      </c>
      <c r="L183" s="11">
        <v>4.8800000000000003E-2</v>
      </c>
    </row>
    <row r="184" spans="1:12" ht="15.75" customHeight="1">
      <c r="A184" s="5">
        <v>42795</v>
      </c>
      <c r="B184" s="6">
        <v>0.79</v>
      </c>
      <c r="C184" s="24">
        <v>12.15</v>
      </c>
      <c r="D184" s="8">
        <v>3.12</v>
      </c>
      <c r="E184" s="8">
        <v>226</v>
      </c>
      <c r="F184" s="8">
        <v>472.24</v>
      </c>
      <c r="G184" s="8">
        <v>100.41</v>
      </c>
      <c r="H184" s="8">
        <v>12.37</v>
      </c>
      <c r="I184" s="7">
        <v>4.45</v>
      </c>
      <c r="J184" s="9">
        <v>2.4365999999999999</v>
      </c>
      <c r="K184" s="10">
        <v>0.01</v>
      </c>
      <c r="L184" s="11">
        <v>4.7199999999999999E-2</v>
      </c>
    </row>
    <row r="185" spans="1:12" ht="15.75" customHeight="1">
      <c r="A185" s="5">
        <v>42826</v>
      </c>
      <c r="B185" s="6">
        <v>0.9</v>
      </c>
      <c r="C185" s="24">
        <v>11.59</v>
      </c>
      <c r="D185" s="8">
        <v>3.17</v>
      </c>
      <c r="E185" s="8">
        <v>217</v>
      </c>
      <c r="F185" s="8">
        <v>461.65</v>
      </c>
      <c r="G185" s="8">
        <v>99.05</v>
      </c>
      <c r="H185" s="8">
        <v>10.85</v>
      </c>
      <c r="I185" s="7">
        <v>4.45</v>
      </c>
      <c r="J185" s="9">
        <v>2.2357</v>
      </c>
      <c r="K185" s="10">
        <v>-1.1000000000000001</v>
      </c>
      <c r="L185" s="11">
        <v>4.6399999999999997E-2</v>
      </c>
    </row>
    <row r="186" spans="1:12" ht="15.75" customHeight="1">
      <c r="A186" s="5">
        <v>42856</v>
      </c>
      <c r="B186" s="6">
        <v>0.91</v>
      </c>
      <c r="C186" s="24">
        <v>11.15</v>
      </c>
      <c r="D186" s="8">
        <v>3.22</v>
      </c>
      <c r="E186" s="8">
        <v>235</v>
      </c>
      <c r="F186" s="8">
        <v>464.29</v>
      </c>
      <c r="G186" s="8">
        <v>96.92</v>
      </c>
      <c r="H186" s="8">
        <v>10.38</v>
      </c>
      <c r="I186" s="7">
        <v>4.6399999999999997</v>
      </c>
      <c r="J186" s="9">
        <v>2.1396000000000002</v>
      </c>
      <c r="K186" s="10">
        <v>-0.93</v>
      </c>
      <c r="L186" s="11">
        <v>4.0300000000000002E-2</v>
      </c>
    </row>
    <row r="187" spans="1:12" ht="15.75" customHeight="1">
      <c r="A187" s="5">
        <v>42887</v>
      </c>
      <c r="B187" s="6">
        <v>1.04</v>
      </c>
      <c r="C187" s="24">
        <v>10.15</v>
      </c>
      <c r="D187" s="8">
        <v>3.3</v>
      </c>
      <c r="E187" s="8">
        <v>242</v>
      </c>
      <c r="F187" s="8">
        <v>463.63</v>
      </c>
      <c r="G187" s="8">
        <v>95.92</v>
      </c>
      <c r="H187" s="8">
        <v>11.44</v>
      </c>
      <c r="I187" s="7">
        <v>4.12</v>
      </c>
      <c r="J187" s="9">
        <v>2.1221000000000001</v>
      </c>
      <c r="K187" s="10">
        <v>-0.67</v>
      </c>
      <c r="L187" s="11">
        <v>4.3900000000000002E-2</v>
      </c>
    </row>
    <row r="188" spans="1:12" ht="15.75" customHeight="1">
      <c r="A188" s="5">
        <v>42917</v>
      </c>
      <c r="B188" s="6">
        <v>1.1499999999999999</v>
      </c>
      <c r="C188" s="24">
        <v>10.01</v>
      </c>
      <c r="D188" s="8">
        <v>3.12</v>
      </c>
      <c r="E188" s="8">
        <v>209</v>
      </c>
      <c r="F188" s="8">
        <v>441</v>
      </c>
      <c r="G188" s="8">
        <v>92.86</v>
      </c>
      <c r="H188" s="8">
        <v>10.29</v>
      </c>
      <c r="I188" s="7">
        <v>4.47</v>
      </c>
      <c r="J188" s="9">
        <v>2.1318000000000001</v>
      </c>
      <c r="K188" s="10">
        <v>-0.72</v>
      </c>
      <c r="L188" s="11">
        <v>3.8399999999999997E-2</v>
      </c>
    </row>
    <row r="189" spans="1:12" ht="15.75" customHeight="1">
      <c r="A189" s="5">
        <v>42948</v>
      </c>
      <c r="B189" s="6">
        <v>1.1599999999999999</v>
      </c>
      <c r="C189" s="24">
        <v>9.15</v>
      </c>
      <c r="D189" s="8">
        <v>3.14</v>
      </c>
      <c r="E189" s="8">
        <v>195</v>
      </c>
      <c r="F189" s="8">
        <v>435</v>
      </c>
      <c r="G189" s="8">
        <v>92.66</v>
      </c>
      <c r="H189" s="8">
        <v>11.7</v>
      </c>
      <c r="I189" s="7">
        <v>4.37</v>
      </c>
      <c r="J189" s="9">
        <v>2.0750000000000002</v>
      </c>
      <c r="K189" s="10">
        <v>0.1</v>
      </c>
      <c r="L189" s="11">
        <v>3.1199999999999999E-2</v>
      </c>
    </row>
    <row r="190" spans="1:12" ht="15.75" customHeight="1">
      <c r="A190" s="5">
        <v>42979</v>
      </c>
      <c r="B190" s="6">
        <v>1.1499999999999999</v>
      </c>
      <c r="C190" s="24">
        <v>8.35</v>
      </c>
      <c r="D190" s="8">
        <v>3.16</v>
      </c>
      <c r="E190" s="8">
        <v>196</v>
      </c>
      <c r="F190" s="8">
        <v>428</v>
      </c>
      <c r="G190" s="8">
        <v>93.36</v>
      </c>
      <c r="H190" s="8">
        <v>9.51</v>
      </c>
      <c r="I190" s="7">
        <v>3.89</v>
      </c>
      <c r="J190" s="9">
        <v>2.0914000000000001</v>
      </c>
      <c r="K190" s="10">
        <v>0.47</v>
      </c>
      <c r="L190" s="11">
        <v>2.3599999999999999E-2</v>
      </c>
    </row>
    <row r="191" spans="1:12" ht="15.75" customHeight="1">
      <c r="A191" s="5">
        <v>43009</v>
      </c>
      <c r="B191" s="6">
        <v>1.1499999999999999</v>
      </c>
      <c r="C191" s="24">
        <v>8.01</v>
      </c>
      <c r="D191" s="8">
        <v>3.29</v>
      </c>
      <c r="E191" s="8">
        <v>168</v>
      </c>
      <c r="F191" s="8">
        <v>430</v>
      </c>
      <c r="G191" s="8">
        <v>94.91</v>
      </c>
      <c r="H191" s="8">
        <v>9.8000000000000007</v>
      </c>
      <c r="I191" s="7">
        <v>4.1399999999999997</v>
      </c>
      <c r="J191" s="9">
        <v>2.1776</v>
      </c>
      <c r="K191" s="10">
        <v>0.2</v>
      </c>
      <c r="L191" s="11">
        <v>3.2599999999999997E-2</v>
      </c>
    </row>
    <row r="192" spans="1:12" ht="15.75" customHeight="1">
      <c r="A192" s="5">
        <v>43040</v>
      </c>
      <c r="B192" s="6">
        <v>1.1599999999999999</v>
      </c>
      <c r="C192" s="24">
        <v>7.4</v>
      </c>
      <c r="D192" s="8">
        <v>3.23</v>
      </c>
      <c r="E192" s="8">
        <v>164</v>
      </c>
      <c r="F192" s="8">
        <v>430</v>
      </c>
      <c r="G192" s="8">
        <v>93.01</v>
      </c>
      <c r="H192" s="8">
        <v>11.43</v>
      </c>
      <c r="I192" s="7">
        <v>3.99</v>
      </c>
      <c r="J192" s="9">
        <v>2.0998000000000001</v>
      </c>
      <c r="K192" s="10">
        <v>0.52</v>
      </c>
      <c r="L192" s="11">
        <v>2.4899999999999999E-2</v>
      </c>
    </row>
    <row r="193" spans="1:12" ht="15.75" customHeight="1">
      <c r="A193" s="5">
        <v>43070</v>
      </c>
      <c r="B193" s="6">
        <v>1.3</v>
      </c>
      <c r="C193" s="24">
        <v>7</v>
      </c>
      <c r="D193" s="8">
        <v>3.31</v>
      </c>
      <c r="E193" s="8">
        <v>159</v>
      </c>
      <c r="F193" s="8">
        <v>432</v>
      </c>
      <c r="G193" s="8">
        <v>92.16</v>
      </c>
      <c r="H193" s="8">
        <v>11.04</v>
      </c>
      <c r="I193" s="7">
        <v>3.8</v>
      </c>
      <c r="J193" s="9">
        <v>2.1172</v>
      </c>
      <c r="K193" s="10">
        <v>0.89</v>
      </c>
      <c r="L193" s="11">
        <v>1.5900000000000001E-2</v>
      </c>
    </row>
    <row r="194" spans="1:12" ht="15.75" customHeight="1">
      <c r="A194" s="5">
        <v>43101</v>
      </c>
      <c r="B194" s="6">
        <v>1.41</v>
      </c>
      <c r="C194" s="24">
        <v>6.9</v>
      </c>
      <c r="D194" s="8">
        <v>3.18</v>
      </c>
      <c r="E194" s="8">
        <v>143</v>
      </c>
      <c r="F194" s="8">
        <v>441</v>
      </c>
      <c r="G194" s="8">
        <v>89.13</v>
      </c>
      <c r="H194" s="8">
        <v>13.54</v>
      </c>
      <c r="I194" s="7">
        <v>3.98</v>
      </c>
      <c r="J194" s="9">
        <v>2.1577999999999999</v>
      </c>
      <c r="K194" s="10">
        <v>0.76</v>
      </c>
      <c r="L194" s="11">
        <v>2.6800000000000001E-2</v>
      </c>
    </row>
    <row r="195" spans="1:12" ht="15.75" customHeight="1">
      <c r="A195" s="5">
        <v>43132</v>
      </c>
      <c r="B195" s="6">
        <v>1.42</v>
      </c>
      <c r="C195" s="24">
        <v>6.72</v>
      </c>
      <c r="D195" s="8">
        <v>3.25</v>
      </c>
      <c r="E195" s="8">
        <v>153</v>
      </c>
      <c r="F195" s="8">
        <v>443</v>
      </c>
      <c r="G195" s="8">
        <v>88</v>
      </c>
      <c r="H195" s="8">
        <v>19.850000000000001</v>
      </c>
      <c r="I195" s="7">
        <v>3.92</v>
      </c>
      <c r="J195" s="9">
        <v>2.1231</v>
      </c>
      <c r="K195" s="10">
        <v>7.0000000000000007E-2</v>
      </c>
      <c r="L195" s="11">
        <v>2.8199999999999999E-2</v>
      </c>
    </row>
    <row r="196" spans="1:12" ht="15.75" customHeight="1">
      <c r="A196" s="5">
        <v>43160</v>
      </c>
      <c r="B196" s="6">
        <v>1.51</v>
      </c>
      <c r="C196" s="24">
        <v>6.58</v>
      </c>
      <c r="D196" s="8">
        <v>3.32</v>
      </c>
      <c r="E196" s="8">
        <v>161</v>
      </c>
      <c r="F196" s="8">
        <v>436</v>
      </c>
      <c r="G196" s="8">
        <v>86</v>
      </c>
      <c r="H196" s="8">
        <v>20.399999999999999</v>
      </c>
      <c r="I196" s="7">
        <v>3.86</v>
      </c>
      <c r="J196" s="9">
        <v>2.3668999999999998</v>
      </c>
      <c r="K196" s="10">
        <v>0.64</v>
      </c>
      <c r="L196" s="11">
        <v>2.5700000000000001E-2</v>
      </c>
    </row>
    <row r="197" spans="1:12" ht="15.75" customHeight="1">
      <c r="A197" s="5">
        <v>43191</v>
      </c>
      <c r="B197" s="6">
        <v>1.69</v>
      </c>
      <c r="C197" s="24">
        <v>6.4</v>
      </c>
      <c r="D197" s="8">
        <v>3.5</v>
      </c>
      <c r="E197" s="8">
        <v>172</v>
      </c>
      <c r="F197" s="8">
        <v>445</v>
      </c>
      <c r="G197" s="8">
        <v>91</v>
      </c>
      <c r="H197" s="8">
        <v>16.62</v>
      </c>
      <c r="I197" s="7">
        <v>4.07</v>
      </c>
      <c r="J197" s="9">
        <v>2.4916</v>
      </c>
      <c r="K197" s="10">
        <v>0.56999999999999995</v>
      </c>
      <c r="L197" s="11">
        <v>2.6700000000000002E-2</v>
      </c>
    </row>
    <row r="198" spans="1:12" ht="15.75" customHeight="1">
      <c r="A198" s="5">
        <v>43221</v>
      </c>
      <c r="B198" s="6">
        <v>1.7</v>
      </c>
      <c r="C198" s="24">
        <v>6.4</v>
      </c>
      <c r="D198" s="8">
        <v>3.73</v>
      </c>
      <c r="E198" s="8">
        <v>228</v>
      </c>
      <c r="F198" s="8">
        <v>446</v>
      </c>
      <c r="G198" s="8">
        <v>95</v>
      </c>
      <c r="H198" s="8">
        <v>15.42</v>
      </c>
      <c r="I198" s="7">
        <v>4.3499999999999996</v>
      </c>
      <c r="J198" s="9">
        <v>2.5432000000000001</v>
      </c>
      <c r="K198" s="10">
        <v>1.38</v>
      </c>
      <c r="L198" s="11">
        <v>0.04</v>
      </c>
    </row>
    <row r="199" spans="1:12" ht="15.75" customHeight="1">
      <c r="A199" s="5">
        <v>43252</v>
      </c>
      <c r="B199" s="6">
        <v>1.82</v>
      </c>
      <c r="C199" s="24">
        <v>6.4</v>
      </c>
      <c r="D199" s="8">
        <v>3.87</v>
      </c>
      <c r="E199" s="8">
        <v>267</v>
      </c>
      <c r="F199" s="8">
        <v>437</v>
      </c>
      <c r="G199" s="8">
        <v>94.47</v>
      </c>
      <c r="H199" s="8">
        <v>16</v>
      </c>
      <c r="I199" s="7">
        <v>4.7699999999999996</v>
      </c>
      <c r="J199" s="9">
        <v>2.5518999999999998</v>
      </c>
      <c r="K199" s="10">
        <v>1.87</v>
      </c>
      <c r="L199" s="11">
        <v>3.5099999999999999E-2</v>
      </c>
    </row>
    <row r="200" spans="1:12" ht="15.75" customHeight="1">
      <c r="A200" s="5">
        <v>43282</v>
      </c>
      <c r="B200" s="6">
        <v>1.91</v>
      </c>
      <c r="C200" s="24">
        <v>6.4</v>
      </c>
      <c r="D200" s="8">
        <v>3.73</v>
      </c>
      <c r="E200" s="8">
        <v>210</v>
      </c>
      <c r="F200" s="8">
        <v>429</v>
      </c>
      <c r="G200" s="8">
        <v>94.55</v>
      </c>
      <c r="H200" s="8">
        <v>14.27</v>
      </c>
      <c r="I200" s="7">
        <v>3.74</v>
      </c>
      <c r="J200" s="9">
        <v>2.5188000000000001</v>
      </c>
      <c r="K200" s="10">
        <v>0.51</v>
      </c>
      <c r="L200" s="11">
        <v>3.44E-2</v>
      </c>
    </row>
    <row r="201" spans="1:12" ht="15.75" customHeight="1">
      <c r="A201" s="5">
        <v>43313</v>
      </c>
      <c r="B201" s="6">
        <v>1.91</v>
      </c>
      <c r="C201" s="24">
        <v>6.4</v>
      </c>
      <c r="D201" s="8">
        <v>4.1500000000000004</v>
      </c>
      <c r="E201" s="8">
        <v>296</v>
      </c>
      <c r="F201" s="8">
        <v>412</v>
      </c>
      <c r="G201" s="8">
        <v>95.14</v>
      </c>
      <c r="H201" s="8">
        <v>14.52</v>
      </c>
      <c r="I201" s="7">
        <v>3.65</v>
      </c>
      <c r="J201" s="9">
        <v>2.4323999999999999</v>
      </c>
      <c r="K201" s="10">
        <v>0.7</v>
      </c>
      <c r="L201" s="11">
        <v>3.9100000000000003E-2</v>
      </c>
    </row>
    <row r="202" spans="1:12" ht="15.75" customHeight="1">
      <c r="A202" s="5">
        <v>43344</v>
      </c>
      <c r="B202" s="6">
        <v>1.95</v>
      </c>
      <c r="C202" s="24">
        <v>6.4</v>
      </c>
      <c r="D202" s="8">
        <v>4.13</v>
      </c>
      <c r="E202" s="8">
        <v>255</v>
      </c>
      <c r="F202" s="8">
        <v>415</v>
      </c>
      <c r="G202" s="8">
        <v>95</v>
      </c>
      <c r="H202" s="8">
        <v>13.82</v>
      </c>
      <c r="I202" s="7">
        <v>4.1399999999999997</v>
      </c>
      <c r="J202" s="9">
        <v>2.4628999999999999</v>
      </c>
      <c r="K202" s="10">
        <v>1.52</v>
      </c>
      <c r="L202" s="11">
        <v>3.4299999999999997E-2</v>
      </c>
    </row>
    <row r="203" spans="1:12" ht="15.75" customHeight="1">
      <c r="A203" s="5">
        <v>43374</v>
      </c>
      <c r="B203" s="6">
        <v>2.19</v>
      </c>
      <c r="C203" s="24">
        <v>6.4</v>
      </c>
      <c r="D203" s="8">
        <v>3.71</v>
      </c>
      <c r="E203" s="8">
        <v>200</v>
      </c>
      <c r="F203" s="8">
        <v>415</v>
      </c>
      <c r="G203" s="8">
        <v>95.13</v>
      </c>
      <c r="H203" s="8">
        <v>20</v>
      </c>
      <c r="I203" s="7">
        <v>4.0199999999999996</v>
      </c>
      <c r="J203" s="9">
        <v>2.4152</v>
      </c>
      <c r="K203" s="10">
        <v>0.89</v>
      </c>
      <c r="L203" s="11">
        <v>2.5899999999999999E-2</v>
      </c>
    </row>
    <row r="204" spans="1:12" ht="15.75" customHeight="1">
      <c r="A204" s="5">
        <v>43405</v>
      </c>
      <c r="B204" s="6">
        <v>2.2000000000000002</v>
      </c>
      <c r="C204" s="24">
        <v>6.4</v>
      </c>
      <c r="D204" s="8">
        <v>3.9</v>
      </c>
      <c r="E204" s="8">
        <v>195</v>
      </c>
      <c r="F204" s="8">
        <v>414</v>
      </c>
      <c r="G204" s="8">
        <v>97.2</v>
      </c>
      <c r="H204" s="8">
        <v>18.75</v>
      </c>
      <c r="I204" s="7">
        <v>3.4</v>
      </c>
      <c r="J204" s="9">
        <v>2.4763999999999999</v>
      </c>
      <c r="K204" s="10">
        <v>-0.49</v>
      </c>
      <c r="L204" s="11">
        <v>2.9000000000000001E-2</v>
      </c>
    </row>
    <row r="205" spans="1:12" ht="15.75" customHeight="1">
      <c r="A205" s="5">
        <v>43435</v>
      </c>
      <c r="B205" s="6">
        <v>2.27</v>
      </c>
      <c r="C205" s="24">
        <v>6.4</v>
      </c>
      <c r="D205" s="8">
        <v>3.88</v>
      </c>
      <c r="E205" s="8">
        <v>180</v>
      </c>
      <c r="F205" s="8">
        <v>415</v>
      </c>
      <c r="G205" s="8">
        <v>96.17</v>
      </c>
      <c r="H205" s="8">
        <v>17</v>
      </c>
      <c r="I205" s="7">
        <v>3.68</v>
      </c>
      <c r="J205" s="9">
        <v>2.4561999999999999</v>
      </c>
      <c r="K205" s="10">
        <v>-1.08</v>
      </c>
      <c r="L205" s="11">
        <v>2.52E-2</v>
      </c>
    </row>
    <row r="206" spans="1:12" ht="15.75" customHeight="1">
      <c r="A206" s="5">
        <v>43466</v>
      </c>
      <c r="B206" s="6">
        <v>2.4</v>
      </c>
      <c r="C206" s="24">
        <v>6.4</v>
      </c>
      <c r="D206" s="8">
        <v>3.68</v>
      </c>
      <c r="E206" s="8">
        <v>170</v>
      </c>
      <c r="F206" s="8">
        <v>414</v>
      </c>
      <c r="G206" s="8">
        <v>95.57</v>
      </c>
      <c r="H206" s="8">
        <v>17</v>
      </c>
      <c r="I206" s="7">
        <v>3.98</v>
      </c>
      <c r="J206" s="9">
        <v>2.3751000000000002</v>
      </c>
      <c r="K206" s="10">
        <v>0.01</v>
      </c>
      <c r="L206" s="11">
        <v>2.58E-2</v>
      </c>
    </row>
    <row r="207" spans="1:12" ht="15.75" customHeight="1">
      <c r="A207" s="5">
        <v>43497</v>
      </c>
      <c r="B207" s="6">
        <v>2.4</v>
      </c>
      <c r="C207" s="24">
        <v>6.4</v>
      </c>
      <c r="D207" s="8">
        <v>3.75</v>
      </c>
      <c r="E207" s="8">
        <v>153</v>
      </c>
      <c r="F207" s="8">
        <v>413</v>
      </c>
      <c r="G207" s="8">
        <v>96.15</v>
      </c>
      <c r="H207" s="8">
        <v>15.65</v>
      </c>
      <c r="I207" s="7">
        <v>3.94</v>
      </c>
      <c r="J207" s="9">
        <v>2.3759000000000001</v>
      </c>
      <c r="K207" s="10">
        <v>0.88</v>
      </c>
      <c r="L207" s="11">
        <v>2.8299999999999999E-2</v>
      </c>
    </row>
    <row r="208" spans="1:12" ht="15.75" customHeight="1">
      <c r="A208" s="5">
        <v>43525</v>
      </c>
      <c r="B208" s="6">
        <v>2.41</v>
      </c>
      <c r="C208" s="24">
        <v>6.4</v>
      </c>
      <c r="D208" s="8">
        <v>3.9</v>
      </c>
      <c r="E208" s="8">
        <v>174</v>
      </c>
      <c r="F208" s="8">
        <v>425</v>
      </c>
      <c r="G208" s="8">
        <v>97.28</v>
      </c>
      <c r="H208" s="8">
        <v>14</v>
      </c>
      <c r="I208" s="7">
        <v>3.98</v>
      </c>
      <c r="J208" s="9">
        <v>2.3569</v>
      </c>
      <c r="K208" s="10">
        <v>1.26</v>
      </c>
      <c r="L208" s="11">
        <v>2.5999999999999999E-2</v>
      </c>
    </row>
    <row r="209" spans="1:12" ht="15.75" customHeight="1">
      <c r="A209" s="5">
        <v>43556</v>
      </c>
      <c r="B209" s="6">
        <v>2.42</v>
      </c>
      <c r="C209" s="24">
        <v>6.4</v>
      </c>
      <c r="D209" s="8">
        <v>3.92</v>
      </c>
      <c r="E209" s="8">
        <v>171</v>
      </c>
      <c r="F209" s="8">
        <v>422</v>
      </c>
      <c r="G209" s="8">
        <v>97.82</v>
      </c>
      <c r="H209" s="8">
        <v>15</v>
      </c>
      <c r="I209" s="7">
        <v>3.72</v>
      </c>
      <c r="J209" s="9">
        <v>2.3927999999999998</v>
      </c>
      <c r="K209" s="10">
        <v>0.92</v>
      </c>
      <c r="L209" s="11">
        <v>2.64E-2</v>
      </c>
    </row>
    <row r="210" spans="1:12" ht="15.75" customHeight="1">
      <c r="A210" s="5">
        <v>43586</v>
      </c>
      <c r="B210" s="6">
        <v>2.39</v>
      </c>
      <c r="C210" s="24">
        <v>6.4</v>
      </c>
      <c r="D210" s="8">
        <v>3.92</v>
      </c>
      <c r="E210" s="8">
        <v>177</v>
      </c>
      <c r="F210" s="8">
        <v>415</v>
      </c>
      <c r="G210" s="8">
        <v>97.75</v>
      </c>
      <c r="H210" s="8">
        <v>19</v>
      </c>
      <c r="I210" s="7">
        <v>3.54</v>
      </c>
      <c r="J210" s="9">
        <v>2.3609</v>
      </c>
      <c r="K210" s="10">
        <v>0.45</v>
      </c>
      <c r="L210" s="11">
        <v>2.63E-2</v>
      </c>
    </row>
    <row r="211" spans="1:12" ht="15.75" customHeight="1">
      <c r="A211" s="5">
        <v>43617</v>
      </c>
      <c r="B211" s="6">
        <v>2.38</v>
      </c>
      <c r="C211" s="24">
        <v>6.4</v>
      </c>
      <c r="D211" s="8">
        <v>3.81</v>
      </c>
      <c r="E211" s="8">
        <v>149</v>
      </c>
      <c r="F211" s="8">
        <v>407</v>
      </c>
      <c r="G211" s="8">
        <v>96.13</v>
      </c>
      <c r="H211" s="8">
        <v>14</v>
      </c>
      <c r="I211" s="7">
        <v>3.49</v>
      </c>
      <c r="J211" s="9">
        <v>2.3925999999999998</v>
      </c>
      <c r="K211" s="10">
        <v>0.8</v>
      </c>
      <c r="L211" s="11">
        <v>2.2599999999999999E-2</v>
      </c>
    </row>
    <row r="212" spans="1:12" ht="15.75" customHeight="1">
      <c r="A212" s="5">
        <v>43647</v>
      </c>
      <c r="B212" s="6">
        <v>2.4</v>
      </c>
      <c r="C212" s="24">
        <v>6.4</v>
      </c>
      <c r="D212" s="8">
        <v>3.81</v>
      </c>
      <c r="E212" s="8">
        <v>126</v>
      </c>
      <c r="F212" s="8">
        <v>403</v>
      </c>
      <c r="G212" s="8">
        <v>98.51</v>
      </c>
      <c r="H212" s="8">
        <v>18</v>
      </c>
      <c r="I212" s="7">
        <v>3.65</v>
      </c>
      <c r="J212" s="9">
        <v>2.4759000000000002</v>
      </c>
      <c r="K212" s="10">
        <v>0.4</v>
      </c>
      <c r="L212" s="11">
        <v>1.8800000000000001E-2</v>
      </c>
    </row>
    <row r="213" spans="1:12" ht="15.75" customHeight="1">
      <c r="A213" s="5">
        <v>43678</v>
      </c>
      <c r="B213" s="6">
        <v>2.13</v>
      </c>
      <c r="C213" s="24">
        <v>5.9</v>
      </c>
      <c r="D213" s="8">
        <v>4.16</v>
      </c>
      <c r="E213" s="8">
        <v>133</v>
      </c>
      <c r="F213" s="8">
        <v>387</v>
      </c>
      <c r="G213" s="8">
        <v>98</v>
      </c>
      <c r="H213" s="8">
        <v>20</v>
      </c>
      <c r="I213" s="7">
        <v>3.49</v>
      </c>
      <c r="J213" s="9">
        <v>2.6303999999999998</v>
      </c>
      <c r="K213" s="10">
        <v>-0.67</v>
      </c>
      <c r="L213" s="11">
        <v>1.8800000000000001E-2</v>
      </c>
    </row>
    <row r="214" spans="1:12" ht="15.75" customHeight="1">
      <c r="A214" s="5">
        <v>43709</v>
      </c>
      <c r="B214" s="6">
        <v>2.04</v>
      </c>
      <c r="C214" s="24">
        <v>5.71</v>
      </c>
      <c r="D214" s="8">
        <v>4.1500000000000004</v>
      </c>
      <c r="E214" s="8">
        <v>136</v>
      </c>
      <c r="F214" s="8">
        <v>387</v>
      </c>
      <c r="G214" s="8">
        <v>99</v>
      </c>
      <c r="H214" s="8">
        <v>18.5</v>
      </c>
      <c r="I214" s="7">
        <v>3.34</v>
      </c>
      <c r="J214" s="9">
        <v>2.6229</v>
      </c>
      <c r="K214" s="10">
        <v>-0.01</v>
      </c>
      <c r="L214" s="11">
        <v>1.3599999999999999E-2</v>
      </c>
    </row>
    <row r="215" spans="1:12" ht="15.75" customHeight="1">
      <c r="A215" s="5">
        <v>43739</v>
      </c>
      <c r="B215" s="6">
        <v>1.83</v>
      </c>
      <c r="C215" s="24">
        <v>5.38</v>
      </c>
      <c r="D215" s="8">
        <v>4</v>
      </c>
      <c r="E215" s="8">
        <v>121</v>
      </c>
      <c r="F215" s="8">
        <v>391</v>
      </c>
      <c r="G215" s="8">
        <v>97.6</v>
      </c>
      <c r="H215" s="8">
        <v>14</v>
      </c>
      <c r="I215" s="7">
        <v>3.37</v>
      </c>
      <c r="J215" s="9">
        <v>2.7475999999999998</v>
      </c>
      <c r="K215" s="10">
        <v>0.68</v>
      </c>
      <c r="L215" s="11">
        <v>1.0200000000000001E-2</v>
      </c>
    </row>
    <row r="216" spans="1:12" ht="15.75" customHeight="1">
      <c r="A216" s="5">
        <v>43770</v>
      </c>
      <c r="B216" s="6">
        <v>1.55</v>
      </c>
      <c r="C216" s="24">
        <v>4.9000000000000004</v>
      </c>
      <c r="D216" s="8">
        <v>4.2300000000000004</v>
      </c>
      <c r="E216" s="8">
        <v>124</v>
      </c>
      <c r="F216" s="8">
        <v>386</v>
      </c>
      <c r="G216" s="8">
        <v>98.27</v>
      </c>
      <c r="H216" s="8">
        <v>13</v>
      </c>
      <c r="I216" s="7">
        <v>3.81</v>
      </c>
      <c r="J216" s="9">
        <v>2.7719999999999998</v>
      </c>
      <c r="K216" s="10">
        <v>0.3</v>
      </c>
      <c r="L216" s="11">
        <v>1.0200000000000001E-2</v>
      </c>
    </row>
    <row r="217" spans="1:12" ht="15.75" customHeight="1">
      <c r="A217" s="5">
        <v>43800</v>
      </c>
      <c r="B217" s="6">
        <v>1.55</v>
      </c>
      <c r="C217" s="24">
        <v>4.59</v>
      </c>
      <c r="D217" s="8">
        <v>4.0199999999999996</v>
      </c>
      <c r="E217" s="8">
        <v>99</v>
      </c>
      <c r="F217" s="8">
        <v>402</v>
      </c>
      <c r="G217" s="8">
        <v>96.38</v>
      </c>
      <c r="H217" s="8">
        <v>15</v>
      </c>
      <c r="I217" s="7">
        <v>4.0999999999999996</v>
      </c>
      <c r="J217" s="9">
        <v>2.7526000000000002</v>
      </c>
      <c r="K217" s="10">
        <v>2.09</v>
      </c>
      <c r="L217" s="11">
        <v>1.0200000000000001E-2</v>
      </c>
    </row>
    <row r="218" spans="1:12" ht="15.75" customHeight="1">
      <c r="A218" s="5">
        <v>43831</v>
      </c>
      <c r="B218" s="6">
        <v>1.55</v>
      </c>
      <c r="C218" s="24">
        <v>4.4000000000000004</v>
      </c>
      <c r="D218" s="8">
        <v>4.24</v>
      </c>
      <c r="E218" s="8">
        <v>100</v>
      </c>
      <c r="F218" s="8">
        <v>412</v>
      </c>
      <c r="G218" s="8">
        <v>98</v>
      </c>
      <c r="H218" s="8">
        <v>19</v>
      </c>
      <c r="I218" s="7">
        <v>3.44</v>
      </c>
      <c r="J218" s="9">
        <v>2.8001999999999998</v>
      </c>
      <c r="K218" s="10">
        <v>0.48</v>
      </c>
      <c r="L218" s="11">
        <v>8.6999999999999994E-3</v>
      </c>
    </row>
    <row r="219" spans="1:12" ht="15.75" customHeight="1">
      <c r="A219" s="5">
        <v>43862</v>
      </c>
      <c r="B219" s="6">
        <v>1.58</v>
      </c>
      <c r="C219" s="24">
        <v>4.1900000000000004</v>
      </c>
      <c r="D219" s="8">
        <v>4.45</v>
      </c>
      <c r="E219" s="8">
        <v>134</v>
      </c>
      <c r="F219" s="8">
        <v>400</v>
      </c>
      <c r="G219" s="8">
        <v>98.12</v>
      </c>
      <c r="H219" s="8">
        <v>40.869999999999997</v>
      </c>
      <c r="I219" s="7">
        <v>3.46</v>
      </c>
      <c r="J219" s="9">
        <v>2.7923</v>
      </c>
      <c r="K219" s="10">
        <v>-0.04</v>
      </c>
      <c r="L219" s="11">
        <v>8.2000000000000007E-3</v>
      </c>
    </row>
    <row r="220" spans="1:12" ht="15.75" customHeight="1">
      <c r="A220" s="5">
        <v>43891</v>
      </c>
      <c r="B220" s="6">
        <v>0.65</v>
      </c>
      <c r="C220" s="24">
        <v>3.95</v>
      </c>
      <c r="D220" s="8">
        <v>5.19</v>
      </c>
      <c r="E220" s="8">
        <v>265</v>
      </c>
      <c r="F220" s="8">
        <v>370</v>
      </c>
      <c r="G220" s="8">
        <v>99</v>
      </c>
      <c r="H220" s="8">
        <v>54.52</v>
      </c>
      <c r="I220" s="7">
        <v>3.13</v>
      </c>
      <c r="J220" s="9">
        <v>2.5922999999999998</v>
      </c>
      <c r="K220" s="10">
        <v>1.24</v>
      </c>
      <c r="L220" s="11">
        <v>2.8999999999999998E-3</v>
      </c>
    </row>
    <row r="221" spans="1:12" ht="15.75" customHeight="1">
      <c r="A221" s="5">
        <v>43922</v>
      </c>
      <c r="B221" s="6">
        <v>0.05</v>
      </c>
      <c r="C221" s="24">
        <v>3.65</v>
      </c>
      <c r="D221" s="8">
        <v>5.48</v>
      </c>
      <c r="E221" s="8">
        <v>299</v>
      </c>
      <c r="F221" s="8">
        <v>350</v>
      </c>
      <c r="G221" s="8">
        <v>99</v>
      </c>
      <c r="H221" s="8">
        <v>35</v>
      </c>
      <c r="I221" s="7">
        <v>2.5</v>
      </c>
      <c r="J221" s="9">
        <v>2.1606999999999998</v>
      </c>
      <c r="K221" s="10">
        <v>0.8</v>
      </c>
      <c r="L221" s="11">
        <v>1.4E-3</v>
      </c>
    </row>
    <row r="222" spans="1:12" ht="15.75" customHeight="1">
      <c r="A222" s="5">
        <v>43952</v>
      </c>
      <c r="B222" s="6">
        <v>0.05</v>
      </c>
      <c r="C222" s="24">
        <v>3.01</v>
      </c>
      <c r="D222" s="8">
        <v>5.33</v>
      </c>
      <c r="E222" s="8">
        <v>270</v>
      </c>
      <c r="F222" s="8">
        <v>368</v>
      </c>
      <c r="G222" s="8">
        <v>98</v>
      </c>
      <c r="H222" s="8">
        <v>28</v>
      </c>
      <c r="I222" s="7">
        <v>2.67</v>
      </c>
      <c r="J222" s="9">
        <v>2</v>
      </c>
      <c r="K222" s="10">
        <v>0.28000000000000003</v>
      </c>
      <c r="L222" s="11">
        <v>-4.4000000000000003E-3</v>
      </c>
    </row>
    <row r="223" spans="1:12" ht="15.75" customHeight="1">
      <c r="A223" s="5">
        <v>43983</v>
      </c>
      <c r="B223" s="6">
        <v>0.08</v>
      </c>
      <c r="C223" s="24">
        <v>2.58</v>
      </c>
      <c r="D223" s="8">
        <v>5.35</v>
      </c>
      <c r="E223" s="8">
        <v>234</v>
      </c>
      <c r="F223" s="8">
        <v>360</v>
      </c>
      <c r="G223" s="8">
        <v>97.34</v>
      </c>
      <c r="H223" s="8">
        <v>31</v>
      </c>
      <c r="I223" s="7">
        <v>3.22</v>
      </c>
      <c r="J223" s="9">
        <v>1.9983</v>
      </c>
      <c r="K223" s="10">
        <v>1.56</v>
      </c>
      <c r="L223" s="11">
        <v>-6.3E-3</v>
      </c>
    </row>
    <row r="224" spans="1:12" ht="15.75" customHeight="1">
      <c r="A224" s="5">
        <v>44013</v>
      </c>
      <c r="B224" s="6">
        <v>0.09</v>
      </c>
      <c r="C224" s="24">
        <v>2.15</v>
      </c>
      <c r="D224" s="8">
        <v>5.22</v>
      </c>
      <c r="E224" s="8">
        <v>219</v>
      </c>
      <c r="F224" s="8">
        <v>379</v>
      </c>
      <c r="G224" s="8">
        <v>93</v>
      </c>
      <c r="H224" s="8">
        <v>24</v>
      </c>
      <c r="I224" s="7">
        <v>3.2</v>
      </c>
      <c r="J224" s="9">
        <v>2.2869999999999999</v>
      </c>
      <c r="K224" s="10">
        <v>2.23</v>
      </c>
      <c r="L224" s="11">
        <v>-7.1000000000000004E-3</v>
      </c>
    </row>
    <row r="225" spans="1:12" ht="15.75" customHeight="1">
      <c r="A225" s="5">
        <v>44044</v>
      </c>
      <c r="B225" s="6">
        <v>0.1</v>
      </c>
      <c r="C225" s="24">
        <v>1.94</v>
      </c>
      <c r="D225" s="8">
        <v>5.49</v>
      </c>
      <c r="E225" s="8">
        <v>212</v>
      </c>
      <c r="F225" s="8">
        <v>395</v>
      </c>
      <c r="G225" s="8">
        <v>92.34</v>
      </c>
      <c r="H225" s="8">
        <v>26</v>
      </c>
      <c r="I225" s="7">
        <v>3.14</v>
      </c>
      <c r="J225" s="9">
        <v>2.222</v>
      </c>
      <c r="K225" s="10">
        <v>2.74</v>
      </c>
      <c r="L225" s="11">
        <v>-7.7999999999999996E-3</v>
      </c>
    </row>
    <row r="226" spans="1:12" ht="15.75" customHeight="1">
      <c r="A226" s="5">
        <v>44075</v>
      </c>
      <c r="B226" s="6">
        <v>0.09</v>
      </c>
      <c r="C226" s="24">
        <v>1.9</v>
      </c>
      <c r="D226" s="8">
        <v>5.63</v>
      </c>
      <c r="E226" s="8">
        <v>246</v>
      </c>
      <c r="F226" s="8">
        <v>405</v>
      </c>
      <c r="G226" s="8">
        <v>94</v>
      </c>
      <c r="H226" s="8">
        <v>26.37</v>
      </c>
      <c r="I226" s="7">
        <v>3.37</v>
      </c>
      <c r="J226" s="9">
        <v>1.9916</v>
      </c>
      <c r="K226" s="10">
        <v>4.34</v>
      </c>
      <c r="L226" s="11">
        <v>-8.8999999999999999E-3</v>
      </c>
    </row>
    <row r="227" spans="1:12" ht="15.75" customHeight="1">
      <c r="A227" s="5">
        <v>44105</v>
      </c>
      <c r="B227" s="6">
        <v>0.09</v>
      </c>
      <c r="C227" s="24">
        <v>1.9</v>
      </c>
      <c r="D227" s="8">
        <v>5.74</v>
      </c>
      <c r="E227" s="8">
        <v>216</v>
      </c>
      <c r="F227" s="8">
        <v>410</v>
      </c>
      <c r="G227" s="8">
        <v>94</v>
      </c>
      <c r="H227" s="8">
        <v>37.6</v>
      </c>
      <c r="I227" s="7">
        <v>3.92</v>
      </c>
      <c r="J227" s="9">
        <v>1.7496</v>
      </c>
      <c r="K227" s="10">
        <v>3.23</v>
      </c>
      <c r="L227" s="11">
        <v>-9.7000000000000003E-3</v>
      </c>
    </row>
    <row r="228" spans="1:12" ht="15.75" customHeight="1">
      <c r="A228" s="5">
        <v>44136</v>
      </c>
      <c r="B228" s="6">
        <v>0.09</v>
      </c>
      <c r="C228" s="24">
        <v>1.9</v>
      </c>
      <c r="D228" s="8">
        <v>5.33</v>
      </c>
      <c r="E228" s="8">
        <v>163</v>
      </c>
      <c r="F228" s="8">
        <v>428</v>
      </c>
      <c r="G228" s="8">
        <v>91</v>
      </c>
      <c r="H228" s="8">
        <v>20.7</v>
      </c>
      <c r="I228" s="7">
        <v>4.1100000000000003</v>
      </c>
      <c r="J228" s="9">
        <v>1.7074</v>
      </c>
      <c r="K228" s="10">
        <v>3.28</v>
      </c>
      <c r="L228" s="11">
        <v>-1.09E-2</v>
      </c>
    </row>
    <row r="229" spans="1:12" ht="15.75" customHeight="1">
      <c r="A229" s="5">
        <v>44166</v>
      </c>
      <c r="B229" s="6">
        <v>0.09</v>
      </c>
      <c r="C229" s="24">
        <v>1.9</v>
      </c>
      <c r="D229" s="8">
        <v>5.09</v>
      </c>
      <c r="E229" s="8">
        <v>141</v>
      </c>
      <c r="F229" s="8">
        <v>443</v>
      </c>
      <c r="G229" s="8">
        <v>89.9</v>
      </c>
      <c r="H229" s="8">
        <v>22.7</v>
      </c>
      <c r="I229" s="7">
        <v>4.0999999999999996</v>
      </c>
      <c r="J229" s="9">
        <v>1.6039000000000001</v>
      </c>
      <c r="K229" s="10">
        <v>0.96</v>
      </c>
      <c r="L229" s="11">
        <v>-7.6E-3</v>
      </c>
    </row>
    <row r="230" spans="1:12" ht="15.75" customHeight="1">
      <c r="A230" s="5">
        <v>44197</v>
      </c>
      <c r="B230" s="6">
        <v>0.09</v>
      </c>
      <c r="C230" s="24">
        <v>1.9</v>
      </c>
      <c r="D230" s="8">
        <v>5.46</v>
      </c>
      <c r="E230" s="8">
        <v>170</v>
      </c>
      <c r="F230" s="8">
        <v>458</v>
      </c>
      <c r="G230" s="8">
        <v>90.459999999999894</v>
      </c>
      <c r="H230" s="8">
        <v>30</v>
      </c>
      <c r="I230" s="7">
        <v>3.57</v>
      </c>
      <c r="J230" s="9">
        <v>1.3915999999999999</v>
      </c>
      <c r="K230" s="10">
        <v>2.58</v>
      </c>
      <c r="L230" s="11">
        <v>1.9E-3</v>
      </c>
    </row>
    <row r="231" spans="1:12" ht="15.75" customHeight="1">
      <c r="A231" s="5">
        <v>44228</v>
      </c>
      <c r="B231" s="6">
        <v>0.08</v>
      </c>
      <c r="C231" s="24">
        <v>1.9</v>
      </c>
      <c r="D231" s="8">
        <v>5.58</v>
      </c>
      <c r="E231" s="8">
        <v>185</v>
      </c>
      <c r="F231" s="8">
        <v>486</v>
      </c>
      <c r="G231" s="8">
        <v>91</v>
      </c>
      <c r="H231" s="8">
        <v>28</v>
      </c>
      <c r="I231" s="7">
        <v>3.99</v>
      </c>
      <c r="J231" s="9">
        <v>1.403</v>
      </c>
      <c r="K231" s="10">
        <v>2.5299999999999998</v>
      </c>
      <c r="L231" s="11">
        <v>5.3E-3</v>
      </c>
    </row>
    <row r="232" spans="1:12" ht="15.75" customHeight="1">
      <c r="A232" s="5">
        <v>44256</v>
      </c>
      <c r="B232" s="6">
        <v>7.0000000000000007E-2</v>
      </c>
      <c r="C232" s="24">
        <v>2.23</v>
      </c>
      <c r="D232" s="8">
        <v>5.65</v>
      </c>
      <c r="E232" s="8">
        <v>227</v>
      </c>
      <c r="F232" s="8">
        <v>506</v>
      </c>
      <c r="G232" s="8">
        <v>93</v>
      </c>
      <c r="H232" s="8">
        <v>19</v>
      </c>
      <c r="I232" s="7">
        <v>4.5</v>
      </c>
      <c r="J232" s="9">
        <v>1.5926</v>
      </c>
      <c r="K232" s="10">
        <v>2.94</v>
      </c>
      <c r="L232" s="11">
        <v>1.01E-2</v>
      </c>
    </row>
    <row r="233" spans="1:12" ht="15.75" customHeight="1">
      <c r="A233" s="5">
        <v>44287</v>
      </c>
      <c r="B233" s="6">
        <v>7.0000000000000007E-2</v>
      </c>
      <c r="C233" s="24">
        <v>2.65</v>
      </c>
      <c r="D233" s="8">
        <v>5.44</v>
      </c>
      <c r="E233" s="8">
        <v>188</v>
      </c>
      <c r="F233" s="8">
        <v>532</v>
      </c>
      <c r="G233" s="8">
        <v>90.6</v>
      </c>
      <c r="H233" s="8">
        <v>18</v>
      </c>
      <c r="I233" s="7">
        <v>4.0999999999999996</v>
      </c>
      <c r="J233" s="9">
        <v>2.2126999999999999</v>
      </c>
      <c r="K233" s="10">
        <v>1.51</v>
      </c>
      <c r="L233" s="11">
        <v>9.9000000000000008E-3</v>
      </c>
    </row>
    <row r="234" spans="1:12" ht="15.75" customHeight="1">
      <c r="A234" s="5">
        <v>44317</v>
      </c>
      <c r="B234" s="6">
        <v>0.06</v>
      </c>
      <c r="C234" s="24">
        <v>3.29</v>
      </c>
      <c r="D234" s="8">
        <v>5.23</v>
      </c>
      <c r="E234" s="8">
        <v>170</v>
      </c>
      <c r="F234" s="8">
        <v>548</v>
      </c>
      <c r="G234" s="8">
        <v>89</v>
      </c>
      <c r="H234" s="8">
        <v>17.760000000000002</v>
      </c>
      <c r="I234" s="7">
        <v>4.45</v>
      </c>
      <c r="J234" s="9">
        <v>2.5693999999999999</v>
      </c>
      <c r="K234" s="10">
        <v>4.0999999999999996</v>
      </c>
      <c r="L234" s="11">
        <v>1.34E-2</v>
      </c>
    </row>
    <row r="235" spans="1:12" ht="15.75" customHeight="1">
      <c r="A235" s="5">
        <v>44348</v>
      </c>
      <c r="B235" s="6">
        <v>0.08</v>
      </c>
      <c r="C235" s="24">
        <v>3.76</v>
      </c>
      <c r="D235" s="8">
        <v>4.97</v>
      </c>
      <c r="E235" s="8">
        <v>159</v>
      </c>
      <c r="F235" s="8">
        <v>562.20000000000005</v>
      </c>
      <c r="G235" s="8">
        <v>92.4</v>
      </c>
      <c r="H235" s="8">
        <v>15.6</v>
      </c>
      <c r="I235" s="7">
        <v>4.47</v>
      </c>
      <c r="J235" s="9">
        <v>2.5648</v>
      </c>
      <c r="K235" s="10">
        <v>0.6</v>
      </c>
      <c r="L235" s="11">
        <v>1.9300000000000001E-2</v>
      </c>
    </row>
    <row r="236" spans="1:12" ht="15.75" customHeight="1">
      <c r="A236" s="5">
        <v>44378</v>
      </c>
      <c r="B236" s="6">
        <v>0.1</v>
      </c>
      <c r="C236" s="24">
        <v>4.1500000000000004</v>
      </c>
      <c r="D236" s="8">
        <v>5.24</v>
      </c>
      <c r="E236" s="8">
        <v>171</v>
      </c>
      <c r="F236" s="8">
        <v>559.64</v>
      </c>
      <c r="G236" s="8">
        <v>92.5</v>
      </c>
      <c r="H236" s="8">
        <v>18</v>
      </c>
      <c r="I236" s="7">
        <v>4.8899999999999997</v>
      </c>
      <c r="J236" s="9">
        <v>2.3304</v>
      </c>
      <c r="K236" s="10">
        <v>0.78</v>
      </c>
      <c r="L236" s="11">
        <v>2.8899999999999999E-2</v>
      </c>
    </row>
    <row r="237" spans="1:12" ht="15.75" customHeight="1">
      <c r="A237" s="5">
        <v>44409</v>
      </c>
      <c r="B237" s="6">
        <v>0.09</v>
      </c>
      <c r="C237" s="24">
        <v>5.01</v>
      </c>
      <c r="D237" s="8">
        <v>5.25</v>
      </c>
      <c r="E237" s="8">
        <v>174</v>
      </c>
      <c r="F237" s="8">
        <v>553.74</v>
      </c>
      <c r="G237" s="8">
        <v>92.75</v>
      </c>
      <c r="H237" s="8">
        <v>21</v>
      </c>
      <c r="I237" s="7">
        <v>4.82</v>
      </c>
      <c r="J237" s="9">
        <v>2.3357000000000001</v>
      </c>
      <c r="K237" s="10">
        <v>0.66</v>
      </c>
      <c r="L237" s="11">
        <v>3.3799999999999997E-2</v>
      </c>
    </row>
    <row r="238" spans="1:12" ht="15.75" customHeight="1">
      <c r="A238" s="5">
        <v>44440</v>
      </c>
      <c r="B238" s="6">
        <v>0.08</v>
      </c>
      <c r="C238" s="24">
        <v>5.43</v>
      </c>
      <c r="D238" s="8">
        <v>5.48</v>
      </c>
      <c r="E238" s="8">
        <v>203</v>
      </c>
      <c r="F238" s="8">
        <v>571.17999999999995</v>
      </c>
      <c r="G238" s="8">
        <v>93</v>
      </c>
      <c r="H238" s="8">
        <v>18</v>
      </c>
      <c r="I238" s="7">
        <v>5.35</v>
      </c>
      <c r="J238" s="9">
        <v>2.6074999999999999</v>
      </c>
      <c r="K238" s="10">
        <v>-0.64</v>
      </c>
      <c r="L238" s="11">
        <v>3.5999999999999997E-2</v>
      </c>
    </row>
    <row r="239" spans="1:12" ht="15.75" customHeight="1">
      <c r="A239" s="5">
        <v>44470</v>
      </c>
      <c r="B239" s="6">
        <v>0.08</v>
      </c>
      <c r="C239" s="24">
        <v>6.3</v>
      </c>
      <c r="D239" s="8">
        <v>5.45</v>
      </c>
      <c r="E239" s="8">
        <v>244</v>
      </c>
      <c r="F239" s="8">
        <v>564.22</v>
      </c>
      <c r="G239" s="8">
        <v>94</v>
      </c>
      <c r="H239" s="8">
        <v>16.38</v>
      </c>
      <c r="I239" s="7">
        <v>5.51</v>
      </c>
      <c r="J239" s="9">
        <v>3.0091999999999999</v>
      </c>
      <c r="K239" s="10">
        <v>0.64</v>
      </c>
      <c r="L239" s="11">
        <v>6.4199999999999993E-2</v>
      </c>
    </row>
    <row r="240" spans="1:12" ht="15.75" customHeight="1">
      <c r="A240" s="5">
        <v>44501</v>
      </c>
      <c r="B240" s="6">
        <v>0.08</v>
      </c>
      <c r="C240" s="24">
        <v>7.65</v>
      </c>
      <c r="D240" s="8">
        <v>5.62</v>
      </c>
      <c r="E240" s="8">
        <v>254</v>
      </c>
      <c r="F240" s="8">
        <v>578.30999999999995</v>
      </c>
      <c r="G240" s="8">
        <v>95.9</v>
      </c>
      <c r="H240" s="8">
        <v>18</v>
      </c>
      <c r="I240" s="7">
        <v>5.89</v>
      </c>
      <c r="J240" s="9">
        <v>3.1894</v>
      </c>
      <c r="K240" s="10">
        <v>0.02</v>
      </c>
      <c r="L240" s="11">
        <v>6.2700000000000006E-2</v>
      </c>
    </row>
    <row r="241" spans="1:12" ht="15.75" customHeight="1">
      <c r="A241" s="5">
        <v>44531</v>
      </c>
      <c r="B241" s="6">
        <v>0.08</v>
      </c>
      <c r="C241" s="24">
        <v>8.76</v>
      </c>
      <c r="D241" s="8">
        <v>5.59</v>
      </c>
      <c r="E241" s="8">
        <v>201</v>
      </c>
      <c r="F241" s="8">
        <v>578</v>
      </c>
      <c r="G241" s="8">
        <v>95.9</v>
      </c>
      <c r="H241" s="8">
        <v>17.68</v>
      </c>
      <c r="I241" s="7">
        <v>5.23</v>
      </c>
      <c r="J241" s="9">
        <v>3.4590000000000001</v>
      </c>
      <c r="K241" s="10">
        <v>0.87</v>
      </c>
      <c r="L241" s="11">
        <v>6.2799999999999995E-2</v>
      </c>
    </row>
    <row r="242" spans="1:12" ht="15.75" customHeight="1">
      <c r="A242" s="5">
        <v>44562</v>
      </c>
      <c r="B242" s="6">
        <v>0.08</v>
      </c>
      <c r="C242" s="24">
        <v>9.15</v>
      </c>
      <c r="D242" s="8">
        <v>5.29</v>
      </c>
      <c r="E242" s="8">
        <v>226</v>
      </c>
      <c r="F242" s="8">
        <v>582</v>
      </c>
      <c r="G242" s="8">
        <v>97</v>
      </c>
      <c r="H242" s="8">
        <v>22</v>
      </c>
      <c r="I242" s="7">
        <v>5.4</v>
      </c>
      <c r="J242" s="9">
        <v>3.9670000000000001</v>
      </c>
      <c r="K242" s="10">
        <v>1.82</v>
      </c>
      <c r="L242" s="11">
        <v>6.5500000000000003E-2</v>
      </c>
    </row>
    <row r="243" spans="1:12" ht="15.75" customHeight="1">
      <c r="A243" s="5">
        <v>44593</v>
      </c>
      <c r="B243" s="6">
        <v>0.08</v>
      </c>
      <c r="C243" s="24">
        <v>10.49</v>
      </c>
      <c r="D243" s="8">
        <v>5.14</v>
      </c>
      <c r="E243" s="8">
        <v>218</v>
      </c>
      <c r="F243" s="8">
        <v>609</v>
      </c>
      <c r="G243" s="8">
        <v>97</v>
      </c>
      <c r="H243" s="8">
        <v>33</v>
      </c>
      <c r="I243" s="7">
        <v>5.46</v>
      </c>
      <c r="J243" s="9">
        <v>4.2840999999999996</v>
      </c>
      <c r="K243" s="10">
        <v>1.83</v>
      </c>
      <c r="L243" s="11">
        <v>6.7599999999999993E-2</v>
      </c>
    </row>
    <row r="244" spans="1:12" ht="15.75" customHeight="1">
      <c r="A244" s="5">
        <v>44621</v>
      </c>
      <c r="B244" s="6">
        <v>0.2</v>
      </c>
      <c r="C244" s="24">
        <v>11.15</v>
      </c>
      <c r="D244" s="8">
        <v>4.74</v>
      </c>
      <c r="E244" s="8">
        <v>205</v>
      </c>
      <c r="F244" s="8">
        <v>634</v>
      </c>
      <c r="G244" s="8">
        <v>98.3</v>
      </c>
      <c r="H244" s="8">
        <v>19</v>
      </c>
      <c r="I244" s="7">
        <v>6.27</v>
      </c>
      <c r="J244" s="9">
        <v>4.5387000000000004</v>
      </c>
      <c r="K244" s="10">
        <v>1.74</v>
      </c>
      <c r="L244" s="11">
        <v>6.9749000000000005E-2</v>
      </c>
    </row>
    <row r="245" spans="1:12" ht="15.75" customHeight="1">
      <c r="A245" s="5">
        <v>44652</v>
      </c>
      <c r="B245" s="6">
        <v>0.33</v>
      </c>
      <c r="C245" s="24">
        <v>11.65</v>
      </c>
      <c r="D245" s="8">
        <v>4.8600000000000003</v>
      </c>
      <c r="E245" s="8">
        <v>220</v>
      </c>
      <c r="F245" s="8">
        <v>640</v>
      </c>
      <c r="G245" s="8">
        <v>103.23</v>
      </c>
      <c r="H245" s="8">
        <v>32.81</v>
      </c>
      <c r="I245" s="7">
        <v>6.01</v>
      </c>
      <c r="J245" s="9">
        <v>4.7084000000000001</v>
      </c>
      <c r="K245" s="10">
        <v>1.41</v>
      </c>
      <c r="L245" s="11">
        <v>7.2209999999999996E-2</v>
      </c>
    </row>
    <row r="246" spans="1:12" ht="15.75" customHeight="1">
      <c r="A246" s="5">
        <v>44682</v>
      </c>
      <c r="B246" s="6">
        <v>0.77</v>
      </c>
      <c r="C246" s="24">
        <v>12.51</v>
      </c>
      <c r="D246" s="8">
        <v>4.76</v>
      </c>
      <c r="E246" s="8">
        <v>239</v>
      </c>
      <c r="F246" s="8">
        <v>630</v>
      </c>
      <c r="G246" s="8">
        <v>105</v>
      </c>
      <c r="H246" s="8">
        <v>25</v>
      </c>
      <c r="I246" s="7">
        <v>6.19</v>
      </c>
      <c r="J246" s="9">
        <v>4.9565000000000001</v>
      </c>
      <c r="K246" s="10">
        <v>0.52</v>
      </c>
      <c r="L246" s="11">
        <v>7.1590000000000001E-2</v>
      </c>
    </row>
    <row r="247" spans="1:12" ht="15.75" customHeight="1">
      <c r="A247" s="5">
        <v>44713</v>
      </c>
      <c r="B247" s="6">
        <v>1.21</v>
      </c>
      <c r="C247" s="24">
        <v>12.89</v>
      </c>
      <c r="D247" s="8">
        <v>5.31</v>
      </c>
      <c r="E247" s="8">
        <v>292</v>
      </c>
      <c r="F247" s="8">
        <v>596</v>
      </c>
      <c r="G247" s="8">
        <v>108</v>
      </c>
      <c r="H247" s="8">
        <v>26.44</v>
      </c>
      <c r="I247" s="7">
        <v>5.76</v>
      </c>
      <c r="J247" s="9">
        <v>5.4024999999999999</v>
      </c>
      <c r="K247" s="10">
        <v>0.59</v>
      </c>
      <c r="L247" s="11">
        <v>7.2986999999999996E-2</v>
      </c>
    </row>
    <row r="248" spans="1:12" ht="15.75" customHeight="1">
      <c r="A248" s="5">
        <v>44743</v>
      </c>
      <c r="B248" s="6">
        <v>1.68</v>
      </c>
      <c r="C248" s="24">
        <v>13.15</v>
      </c>
      <c r="D248" s="8">
        <v>5.17</v>
      </c>
      <c r="E248" s="8">
        <v>269</v>
      </c>
      <c r="F248" s="8">
        <v>582</v>
      </c>
      <c r="G248" s="8">
        <v>112</v>
      </c>
      <c r="H248" s="8">
        <v>22.6</v>
      </c>
      <c r="I248" s="7">
        <v>4.76</v>
      </c>
      <c r="J248" s="9">
        <v>5.5932000000000004</v>
      </c>
      <c r="K248" s="10">
        <v>0.21</v>
      </c>
      <c r="L248" s="11">
        <v>7.9076999999999995E-2</v>
      </c>
    </row>
    <row r="249" spans="1:12" ht="15.75" customHeight="1">
      <c r="A249" s="5">
        <v>44774</v>
      </c>
      <c r="B249" s="6">
        <v>2.33</v>
      </c>
      <c r="C249" s="24">
        <v>13.58</v>
      </c>
      <c r="D249" s="8">
        <v>5.1100000000000003</v>
      </c>
      <c r="E249" s="8">
        <v>250</v>
      </c>
      <c r="F249" s="8">
        <v>590</v>
      </c>
      <c r="G249" s="8">
        <v>111</v>
      </c>
      <c r="H249" s="8">
        <v>22</v>
      </c>
      <c r="I249" s="7">
        <v>5.18</v>
      </c>
      <c r="J249" s="9">
        <v>5.9526000000000003</v>
      </c>
      <c r="K249" s="10">
        <v>-0.7</v>
      </c>
      <c r="L249" s="11">
        <v>7.3566999999999994E-2</v>
      </c>
    </row>
    <row r="250" spans="1:12" ht="15.75" customHeight="1">
      <c r="A250" s="5">
        <v>44805</v>
      </c>
      <c r="B250" s="6">
        <v>2.56</v>
      </c>
      <c r="C250" s="24">
        <v>13.65</v>
      </c>
      <c r="D250" s="8">
        <v>5.36</v>
      </c>
      <c r="E250" s="8">
        <v>300</v>
      </c>
      <c r="F250" s="8">
        <v>559.45000000000005</v>
      </c>
      <c r="G250" s="8">
        <v>105</v>
      </c>
      <c r="H250" s="8">
        <v>22</v>
      </c>
      <c r="I250" s="7">
        <v>4.74</v>
      </c>
      <c r="J250" s="9">
        <v>6.3445999999999998</v>
      </c>
      <c r="K250" s="10">
        <v>-0.95</v>
      </c>
      <c r="L250" s="11">
        <v>7.9090999999999995E-2</v>
      </c>
    </row>
    <row r="251" spans="1:12" ht="15.75" customHeight="1">
      <c r="A251" s="5">
        <v>44835</v>
      </c>
      <c r="B251" s="6">
        <v>3.08</v>
      </c>
      <c r="C251" s="24">
        <v>13.65</v>
      </c>
      <c r="D251" s="8">
        <v>5.14</v>
      </c>
      <c r="E251" s="8">
        <v>272</v>
      </c>
      <c r="F251" s="8">
        <v>549.59</v>
      </c>
      <c r="G251" s="8">
        <v>104</v>
      </c>
      <c r="H251" s="8">
        <v>22</v>
      </c>
      <c r="I251" s="7">
        <v>5.14</v>
      </c>
      <c r="J251" s="9">
        <v>6.3155999999999999</v>
      </c>
      <c r="K251" s="10">
        <v>-0.97</v>
      </c>
      <c r="L251" s="11">
        <v>7.3619000000000004E-2</v>
      </c>
    </row>
    <row r="252" spans="1:12" ht="15.75" customHeight="1">
      <c r="A252" s="5">
        <v>44866</v>
      </c>
      <c r="B252" s="6">
        <v>3.78</v>
      </c>
      <c r="C252" s="24">
        <v>13.65</v>
      </c>
      <c r="D252" s="8">
        <v>5.19</v>
      </c>
      <c r="E252" s="8">
        <v>256</v>
      </c>
      <c r="F252" s="8">
        <v>564.26</v>
      </c>
      <c r="G252" s="8">
        <v>101.7</v>
      </c>
      <c r="H252" s="8">
        <v>22</v>
      </c>
      <c r="I252" s="7">
        <v>5.37</v>
      </c>
      <c r="J252" s="9">
        <v>6.4302999999999999</v>
      </c>
      <c r="K252" s="10">
        <v>-0.56000000000000005</v>
      </c>
      <c r="L252" s="11">
        <v>8.0561999999999995E-2</v>
      </c>
    </row>
    <row r="253" spans="1:12" ht="15.75" customHeight="1">
      <c r="A253" s="5">
        <v>44896</v>
      </c>
      <c r="B253" s="6">
        <v>4.0999999999999996</v>
      </c>
      <c r="C253" s="24">
        <v>13.65</v>
      </c>
      <c r="D253" s="8">
        <v>5.28</v>
      </c>
      <c r="E253" s="8">
        <v>250</v>
      </c>
      <c r="F253" s="8">
        <v>554.78</v>
      </c>
      <c r="G253" s="8">
        <v>104</v>
      </c>
      <c r="H253" s="8">
        <v>18</v>
      </c>
      <c r="I253" s="7">
        <v>5.26</v>
      </c>
      <c r="J253" s="9">
        <v>6.5454999999999997</v>
      </c>
      <c r="K253" s="10">
        <v>0.45</v>
      </c>
      <c r="L253" s="11">
        <v>7.4989E-2</v>
      </c>
    </row>
    <row r="254" spans="1:12" ht="15.75" customHeight="1">
      <c r="A254" s="5">
        <v>44927</v>
      </c>
      <c r="B254" s="6">
        <v>4.33</v>
      </c>
      <c r="C254" s="24">
        <v>13.65</v>
      </c>
      <c r="D254" s="8">
        <v>5.08</v>
      </c>
      <c r="E254" s="8">
        <v>226</v>
      </c>
      <c r="F254" s="8">
        <v>557.02</v>
      </c>
      <c r="G254" s="8">
        <v>102</v>
      </c>
      <c r="H254" s="8">
        <v>18.7</v>
      </c>
      <c r="I254" s="7">
        <v>5.71</v>
      </c>
      <c r="J254" s="9">
        <v>6.4882999999999997</v>
      </c>
      <c r="K254" s="10">
        <v>0.21</v>
      </c>
      <c r="L254" s="11">
        <v>7.3093000000000005E-2</v>
      </c>
    </row>
    <row r="255" spans="1:12" ht="15.75" customHeight="1">
      <c r="A255" s="5">
        <v>44958</v>
      </c>
      <c r="B255" s="6">
        <v>4.57</v>
      </c>
      <c r="C255" s="24">
        <v>13.65</v>
      </c>
      <c r="D255" s="8">
        <v>5.17</v>
      </c>
      <c r="E255" s="8">
        <v>228</v>
      </c>
      <c r="F255" s="8">
        <v>548.53</v>
      </c>
      <c r="G255" s="8">
        <v>101</v>
      </c>
      <c r="H255" s="8">
        <v>25</v>
      </c>
      <c r="I255" s="7">
        <v>5.77</v>
      </c>
      <c r="J255" s="9">
        <v>6.5266000000000002</v>
      </c>
      <c r="K255" s="10">
        <v>-0.06</v>
      </c>
      <c r="L255" s="11">
        <v>7.1768999999999999E-2</v>
      </c>
    </row>
    <row r="256" spans="1:12" ht="15.75" customHeight="1">
      <c r="A256" s="5">
        <v>44986</v>
      </c>
      <c r="B256" s="6">
        <v>4.6500000000000004</v>
      </c>
      <c r="C256" s="24">
        <v>13.65</v>
      </c>
      <c r="D256" s="8">
        <v>5.0599999999999996</v>
      </c>
      <c r="E256" s="8">
        <v>225</v>
      </c>
      <c r="F256" s="8">
        <v>550.63</v>
      </c>
      <c r="G256" s="8">
        <v>101.7</v>
      </c>
      <c r="H256" s="8">
        <v>17</v>
      </c>
      <c r="I256" s="7">
        <v>5.55</v>
      </c>
      <c r="J256" s="9">
        <v>6.3906000000000001</v>
      </c>
      <c r="K256" s="10">
        <v>0.05</v>
      </c>
      <c r="L256" s="11">
        <v>6.9119E-2</v>
      </c>
    </row>
    <row r="257" spans="1:12" ht="15.75" customHeight="1">
      <c r="A257" s="5">
        <v>45017</v>
      </c>
      <c r="B257" s="6">
        <v>4.83</v>
      </c>
      <c r="C257" s="24">
        <v>13.65</v>
      </c>
      <c r="D257" s="8">
        <v>4.9800000000000004</v>
      </c>
      <c r="E257" s="8">
        <v>220</v>
      </c>
      <c r="F257" s="8">
        <v>547.45000000000005</v>
      </c>
      <c r="G257" s="8">
        <v>102</v>
      </c>
      <c r="H257" s="8">
        <v>17</v>
      </c>
      <c r="I257" s="7">
        <v>5.28</v>
      </c>
      <c r="J257" s="9">
        <v>6.2676999999999996</v>
      </c>
      <c r="K257" s="10">
        <v>-0.95</v>
      </c>
      <c r="L257" s="11">
        <v>6.7407999999999996E-2</v>
      </c>
    </row>
    <row r="258" spans="1:12" ht="15.75" customHeight="1">
      <c r="A258" s="5">
        <v>45047</v>
      </c>
      <c r="B258" s="6">
        <v>5.0599999999999996</v>
      </c>
      <c r="C258" s="24">
        <v>13.65</v>
      </c>
      <c r="D258" s="8">
        <v>4.9800000000000004</v>
      </c>
      <c r="E258" s="8">
        <v>206</v>
      </c>
      <c r="F258" s="8">
        <v>541.45000000000005</v>
      </c>
      <c r="G258" s="8">
        <v>104.2</v>
      </c>
      <c r="H258" s="8">
        <v>16.899999999999999</v>
      </c>
      <c r="I258" s="7">
        <v>4.6900000000000004</v>
      </c>
      <c r="J258" s="9">
        <v>5.9789000000000003</v>
      </c>
      <c r="K258" s="10">
        <v>-1.84</v>
      </c>
      <c r="L258" s="11">
        <v>7.0830000000000004E-2</v>
      </c>
    </row>
    <row r="259" spans="1:12" ht="15.75" customHeight="1">
      <c r="A259" s="5">
        <v>45078</v>
      </c>
      <c r="B259" s="6">
        <v>5.08</v>
      </c>
      <c r="C259" s="24">
        <v>13.65</v>
      </c>
      <c r="D259" s="8">
        <v>4.83</v>
      </c>
      <c r="E259" s="8">
        <v>177</v>
      </c>
      <c r="F259" s="8">
        <v>547.83000000000004</v>
      </c>
      <c r="G259" s="8">
        <v>103</v>
      </c>
      <c r="H259" s="8">
        <v>16</v>
      </c>
      <c r="I259" s="7">
        <v>3.99</v>
      </c>
      <c r="J259" s="9">
        <v>5.5888</v>
      </c>
      <c r="K259" s="10">
        <v>-1.93</v>
      </c>
      <c r="L259" s="11">
        <v>7.1396000000000001E-2</v>
      </c>
    </row>
    <row r="260" spans="1:12" ht="15.75" customHeight="1">
      <c r="A260" s="5">
        <v>45108</v>
      </c>
      <c r="B260" s="6">
        <v>5.12</v>
      </c>
      <c r="C260" s="24">
        <v>13.65</v>
      </c>
      <c r="D260" s="8">
        <v>4.71</v>
      </c>
      <c r="E260" s="8">
        <v>162</v>
      </c>
      <c r="F260" s="8">
        <v>563.85</v>
      </c>
      <c r="G260" s="8">
        <v>102</v>
      </c>
      <c r="H260" s="8">
        <v>14.8</v>
      </c>
      <c r="I260" s="7">
        <v>4.09</v>
      </c>
      <c r="J260" s="9">
        <v>5.4028999999999998</v>
      </c>
      <c r="K260" s="10">
        <v>-0.72</v>
      </c>
      <c r="L260" s="11">
        <v>6.8576999999999999E-2</v>
      </c>
    </row>
    <row r="261" spans="1:12" ht="15.75" customHeight="1">
      <c r="A261" s="5">
        <v>45139</v>
      </c>
      <c r="B261" s="6">
        <v>5.33</v>
      </c>
      <c r="C261" s="24">
        <v>13.19</v>
      </c>
      <c r="D261" s="8">
        <v>4.8899999999999997</v>
      </c>
      <c r="E261" s="8">
        <v>166</v>
      </c>
      <c r="F261" s="8">
        <v>552.84</v>
      </c>
      <c r="G261" s="8">
        <v>105</v>
      </c>
      <c r="H261" s="8">
        <v>13.8</v>
      </c>
      <c r="I261" s="7">
        <v>4.22</v>
      </c>
      <c r="J261" s="9">
        <v>5.1696999999999997</v>
      </c>
      <c r="K261" s="10">
        <v>-0.14000000000000001</v>
      </c>
      <c r="L261" s="11">
        <v>6.7229999999999998E-2</v>
      </c>
    </row>
    <row r="262" spans="1:12" ht="15.75" customHeight="1">
      <c r="A262" s="5">
        <v>45170</v>
      </c>
      <c r="B262" s="6">
        <v>5.33</v>
      </c>
      <c r="C262" s="24">
        <v>12.97</v>
      </c>
      <c r="D262" s="8">
        <v>5.05</v>
      </c>
      <c r="E262" s="8">
        <v>186</v>
      </c>
      <c r="F262" s="8">
        <v>548.55999999999995</v>
      </c>
      <c r="G262" s="8">
        <v>106.6</v>
      </c>
      <c r="H262" s="8">
        <v>19</v>
      </c>
      <c r="I262" s="7">
        <v>4.1100000000000003</v>
      </c>
      <c r="J262" s="9">
        <v>4.9554</v>
      </c>
      <c r="K262" s="10">
        <v>0.37</v>
      </c>
      <c r="L262" s="11">
        <v>6.6555000000000003E-2</v>
      </c>
    </row>
    <row r="263" spans="1:12" ht="15.75" customHeight="1">
      <c r="A263" s="5">
        <v>45200</v>
      </c>
      <c r="B263" s="6">
        <v>5.33</v>
      </c>
      <c r="C263" s="24">
        <v>12.65</v>
      </c>
      <c r="D263" s="8">
        <v>5</v>
      </c>
      <c r="E263" s="8">
        <v>183</v>
      </c>
      <c r="F263" s="8">
        <v>539.51</v>
      </c>
      <c r="G263" s="8">
        <v>105.8</v>
      </c>
      <c r="H263" s="8">
        <v>14.7</v>
      </c>
      <c r="I263" s="7">
        <v>3.92</v>
      </c>
      <c r="J263" s="9">
        <v>4.8826999999999998</v>
      </c>
      <c r="K263" s="10">
        <v>0.5</v>
      </c>
      <c r="L263" s="11">
        <v>6.6808999999999993E-2</v>
      </c>
    </row>
    <row r="264" spans="1:12" ht="15.75" customHeight="1">
      <c r="A264" s="5">
        <v>45231</v>
      </c>
      <c r="B264" s="6">
        <v>5.33</v>
      </c>
      <c r="C264" s="24">
        <v>12.17</v>
      </c>
      <c r="D264" s="8">
        <v>4.9000000000000004</v>
      </c>
      <c r="E264" s="8">
        <v>146</v>
      </c>
      <c r="F264" s="8">
        <v>529.9</v>
      </c>
      <c r="G264" s="8">
        <v>104</v>
      </c>
      <c r="H264" s="8">
        <v>12.3</v>
      </c>
      <c r="I264" s="7">
        <v>3.92</v>
      </c>
      <c r="J264" s="9">
        <v>4.6913</v>
      </c>
      <c r="K264" s="10">
        <v>0.59</v>
      </c>
      <c r="L264" s="11">
        <v>6.2394999999999999E-2</v>
      </c>
    </row>
    <row r="265" spans="1:12" ht="15.75" customHeight="1">
      <c r="A265" s="5">
        <v>45261</v>
      </c>
      <c r="B265" s="6">
        <v>5.33</v>
      </c>
      <c r="C265" s="24">
        <v>11.87</v>
      </c>
      <c r="D265" s="8">
        <v>4.8499999999999996</v>
      </c>
      <c r="E265" s="8">
        <v>131</v>
      </c>
      <c r="F265" s="8">
        <v>510.32</v>
      </c>
      <c r="G265" s="8">
        <v>102.4</v>
      </c>
      <c r="H265" s="8">
        <v>12.7</v>
      </c>
      <c r="I265" s="7">
        <v>3.81</v>
      </c>
      <c r="J265" s="9">
        <v>4.5576999999999996</v>
      </c>
      <c r="K265" s="10">
        <v>0.74</v>
      </c>
      <c r="L265" s="11">
        <v>5.9076999999999998E-2</v>
      </c>
    </row>
    <row r="266" spans="1:12" ht="15.75" customHeight="1">
      <c r="A266" s="5">
        <v>45292</v>
      </c>
      <c r="B266" s="6">
        <v>5.33</v>
      </c>
      <c r="C266" s="24">
        <v>11.65</v>
      </c>
      <c r="D266" s="8">
        <v>4.95</v>
      </c>
      <c r="E266" s="8">
        <v>139</v>
      </c>
      <c r="F266" s="8">
        <v>521.47</v>
      </c>
      <c r="G266" s="8">
        <v>103.5</v>
      </c>
      <c r="H266" s="8">
        <v>12.9</v>
      </c>
      <c r="I266" s="7">
        <v>3.8</v>
      </c>
      <c r="J266" s="9">
        <v>4.6013000000000002</v>
      </c>
      <c r="K266" s="10">
        <v>7.0000000000000007E-2</v>
      </c>
      <c r="L266" s="11">
        <v>5.7164E-2</v>
      </c>
    </row>
    <row r="267" spans="1:12" ht="15.75" customHeight="1">
      <c r="A267" s="5">
        <v>45323</v>
      </c>
      <c r="B267" s="6">
        <v>5.33</v>
      </c>
      <c r="C267" s="24">
        <v>11.15</v>
      </c>
      <c r="D267" s="8">
        <v>4.97</v>
      </c>
      <c r="E267" s="8">
        <v>124</v>
      </c>
      <c r="F267" s="8">
        <v>524.42999999999995</v>
      </c>
      <c r="G267" s="8">
        <v>103.8</v>
      </c>
      <c r="H267" s="8">
        <v>13.11</v>
      </c>
      <c r="I267" s="7">
        <v>3.75</v>
      </c>
      <c r="J267" s="9">
        <v>4.4001000000000001</v>
      </c>
      <c r="K267" s="10">
        <v>-0.52</v>
      </c>
      <c r="L267" s="11">
        <v>5.7875999999999997E-2</v>
      </c>
    </row>
    <row r="268" spans="1:12" ht="15.75" customHeight="1">
      <c r="A268" s="5">
        <v>45352</v>
      </c>
      <c r="B268" s="6">
        <v>5.33</v>
      </c>
      <c r="C268" s="24">
        <v>11</v>
      </c>
      <c r="D268" s="8">
        <v>5.05</v>
      </c>
      <c r="E268" s="8">
        <v>138</v>
      </c>
      <c r="F268" s="8">
        <v>536.35</v>
      </c>
      <c r="G268" s="8">
        <v>105.2</v>
      </c>
      <c r="H268" s="8">
        <v>13.6</v>
      </c>
      <c r="I268" s="7">
        <v>3.39</v>
      </c>
      <c r="J268" s="9">
        <v>4.5027999999999997</v>
      </c>
      <c r="K268" s="10">
        <v>-0.47</v>
      </c>
      <c r="L268" s="11">
        <v>5.9452999999999999E-2</v>
      </c>
    </row>
    <row r="269" spans="1:12" ht="15.75" customHeight="1">
      <c r="A269" s="5">
        <v>45383</v>
      </c>
      <c r="B269" s="6">
        <v>5.33</v>
      </c>
      <c r="C269" s="24">
        <v>10.65</v>
      </c>
      <c r="D269" s="8">
        <v>5.19</v>
      </c>
      <c r="E269" s="8">
        <v>149</v>
      </c>
      <c r="F269" s="8">
        <v>546.16999999999996</v>
      </c>
      <c r="G269" s="8">
        <v>105.7</v>
      </c>
      <c r="H269" s="8">
        <v>12.5</v>
      </c>
      <c r="I269" s="7">
        <v>3.58</v>
      </c>
      <c r="J269" s="9">
        <v>4.4036</v>
      </c>
      <c r="K269" s="10">
        <v>0.31</v>
      </c>
      <c r="L269" s="11">
        <v>6.2453000000000002E-2</v>
      </c>
    </row>
    <row r="270" spans="1:12" ht="15.75" customHeight="1">
      <c r="A270" s="5">
        <v>45413</v>
      </c>
      <c r="B270" s="6">
        <v>5.33</v>
      </c>
      <c r="C270" s="24">
        <v>10.46</v>
      </c>
      <c r="D270" s="8">
        <v>5.34</v>
      </c>
      <c r="E270" s="8">
        <v>158</v>
      </c>
      <c r="F270" s="8">
        <v>546.16999999999996</v>
      </c>
      <c r="G270" s="8">
        <v>105</v>
      </c>
      <c r="H270" s="8">
        <v>12.25</v>
      </c>
      <c r="I270" s="7">
        <v>3.71</v>
      </c>
      <c r="J270" s="9">
        <v>4.3000999999999996</v>
      </c>
      <c r="K270" s="10">
        <v>0.89</v>
      </c>
      <c r="L270" s="11">
        <v>6.2212999999999997E-2</v>
      </c>
    </row>
    <row r="271" spans="1:12" ht="15.75" customHeight="1">
      <c r="A271" s="5">
        <v>45444</v>
      </c>
      <c r="B271" s="6">
        <v>5.33</v>
      </c>
      <c r="C271" s="24">
        <v>10.4</v>
      </c>
      <c r="D271" s="8">
        <v>5.42</v>
      </c>
      <c r="E271" s="8">
        <v>145</v>
      </c>
      <c r="F271" s="8">
        <v>539.30999999999995</v>
      </c>
      <c r="G271" s="8">
        <v>104</v>
      </c>
      <c r="H271" s="8">
        <v>12.46</v>
      </c>
      <c r="I271" s="7">
        <v>3.7</v>
      </c>
      <c r="J271" s="9">
        <v>4.2347000000000001</v>
      </c>
      <c r="K271" s="10">
        <v>0.81</v>
      </c>
      <c r="L271" s="11">
        <v>7.1775000000000005E-2</v>
      </c>
    </row>
    <row r="272" spans="1:12" ht="15.75" customHeight="1">
      <c r="A272" s="5">
        <v>45474</v>
      </c>
      <c r="B272" s="6">
        <v>5.33</v>
      </c>
      <c r="C272" s="24">
        <v>10.4</v>
      </c>
      <c r="D272" s="8">
        <v>5.5</v>
      </c>
      <c r="E272" s="8">
        <v>163</v>
      </c>
      <c r="F272" s="8">
        <v>535.21</v>
      </c>
      <c r="G272" s="8">
        <v>103</v>
      </c>
      <c r="H272" s="8">
        <v>20.36</v>
      </c>
      <c r="I272" s="7">
        <v>3.84</v>
      </c>
      <c r="J272" s="9">
        <v>4.1797000000000004</v>
      </c>
      <c r="K272" s="10">
        <v>0.61</v>
      </c>
      <c r="L272" s="11">
        <v>7.0380999999999999E-2</v>
      </c>
    </row>
    <row r="273" spans="1:12" ht="15.75" customHeight="1">
      <c r="A273" s="5">
        <v>45505</v>
      </c>
      <c r="B273" s="6">
        <v>5.33</v>
      </c>
      <c r="C273" s="24">
        <v>10.4</v>
      </c>
      <c r="D273" s="8">
        <v>5.56</v>
      </c>
      <c r="E273" s="8">
        <v>152</v>
      </c>
      <c r="F273" s="8">
        <v>536.35</v>
      </c>
      <c r="G273" s="8">
        <v>101</v>
      </c>
      <c r="H273" s="8">
        <v>16</v>
      </c>
      <c r="I273" s="7">
        <v>3.79</v>
      </c>
      <c r="J273" s="9">
        <v>4.1120999999999999</v>
      </c>
      <c r="K273" s="10">
        <v>0.28999999999999998</v>
      </c>
      <c r="L273" s="11">
        <v>7.0078000000000001E-2</v>
      </c>
    </row>
    <row r="274" spans="1:12" ht="15.75" customHeight="1">
      <c r="A274" s="5">
        <v>45536</v>
      </c>
      <c r="B274" s="6">
        <v>5.13</v>
      </c>
      <c r="C274" s="24">
        <v>10.5</v>
      </c>
      <c r="D274" s="8">
        <v>5.61</v>
      </c>
      <c r="E274" s="8">
        <v>153</v>
      </c>
      <c r="F274" s="8">
        <v>540.27</v>
      </c>
      <c r="G274" s="8">
        <v>103</v>
      </c>
      <c r="H274" s="8">
        <v>20</v>
      </c>
      <c r="I274" s="7">
        <v>4.13</v>
      </c>
      <c r="J274" s="9">
        <v>4.0126999999999997</v>
      </c>
      <c r="K274" s="10">
        <v>0.62</v>
      </c>
      <c r="L274" s="11">
        <v>7.5069999999999998E-2</v>
      </c>
    </row>
    <row r="275" spans="1:12" ht="15.75" customHeight="1">
      <c r="A275" s="5">
        <v>45566</v>
      </c>
      <c r="B275" s="6">
        <v>4.83</v>
      </c>
      <c r="C275" s="24">
        <v>10.65</v>
      </c>
      <c r="D275" s="8">
        <v>5.7</v>
      </c>
      <c r="E275" s="8">
        <v>157</v>
      </c>
      <c r="F275" s="8">
        <v>534.44000000000005</v>
      </c>
      <c r="G275" s="8">
        <v>105</v>
      </c>
      <c r="H275" s="8">
        <v>21</v>
      </c>
      <c r="I275" s="7">
        <v>4.1900000000000004</v>
      </c>
      <c r="J275" s="9">
        <v>3.9634</v>
      </c>
      <c r="K275" s="10">
        <v>1.52</v>
      </c>
      <c r="L275" s="11">
        <v>7.8029000000000001E-2</v>
      </c>
    </row>
    <row r="276" spans="1:12" ht="15.75" customHeight="1">
      <c r="A276" s="5">
        <v>45597</v>
      </c>
      <c r="B276" s="6">
        <v>4.6399999999999997</v>
      </c>
      <c r="C276" s="24">
        <v>11.04</v>
      </c>
      <c r="D276" s="8">
        <v>6</v>
      </c>
      <c r="E276" s="8">
        <v>161</v>
      </c>
      <c r="F276" s="8">
        <v>535.74</v>
      </c>
      <c r="G276" s="8">
        <v>105</v>
      </c>
      <c r="H276" s="8">
        <v>13</v>
      </c>
      <c r="I276" s="7">
        <v>4.45</v>
      </c>
      <c r="J276" s="9">
        <v>3.8761999999999999</v>
      </c>
      <c r="K276" s="10">
        <v>1.3</v>
      </c>
      <c r="L276" s="11">
        <v>8.0116000000000007E-2</v>
      </c>
    </row>
    <row r="277" spans="1:12" ht="15.75" customHeight="1">
      <c r="A277" s="5">
        <v>45627</v>
      </c>
      <c r="B277" s="6">
        <v>4.4800000000000004</v>
      </c>
      <c r="C277" s="24">
        <v>11.77</v>
      </c>
      <c r="D277" s="8">
        <v>6.17</v>
      </c>
      <c r="E277" s="8">
        <v>214</v>
      </c>
      <c r="F277" s="8">
        <v>536.5</v>
      </c>
      <c r="G277" s="8">
        <v>108</v>
      </c>
      <c r="H277" s="8">
        <v>17</v>
      </c>
      <c r="I277" s="7">
        <v>4.99</v>
      </c>
      <c r="J277" s="9">
        <v>3.7465999999999999</v>
      </c>
      <c r="K277" s="10">
        <v>0.94</v>
      </c>
      <c r="L277" s="11">
        <v>8.5098999999999994E-2</v>
      </c>
    </row>
    <row r="278" spans="1:12" ht="15.75" customHeight="1">
      <c r="A278" s="5">
        <v>45658</v>
      </c>
      <c r="B278" s="6">
        <v>4.33</v>
      </c>
      <c r="C278" s="24">
        <v>12.24</v>
      </c>
      <c r="D278" s="8">
        <v>5.84</v>
      </c>
      <c r="E278" s="8">
        <v>177</v>
      </c>
      <c r="F278" s="8">
        <v>541.96</v>
      </c>
      <c r="G278" s="8">
        <v>108</v>
      </c>
      <c r="H278" s="8">
        <v>16</v>
      </c>
      <c r="I278" s="7">
        <v>5.47</v>
      </c>
      <c r="J278" s="9">
        <v>3.6253000000000002</v>
      </c>
      <c r="K278" s="10">
        <v>0.27</v>
      </c>
      <c r="L278" s="11">
        <v>8.4916000000000005E-2</v>
      </c>
    </row>
    <row r="279" spans="1:12" ht="15.75" customHeight="1">
      <c r="A279" s="5">
        <v>45689</v>
      </c>
      <c r="B279" s="6">
        <v>4.33</v>
      </c>
      <c r="C279" s="24">
        <v>13.15</v>
      </c>
      <c r="D279" s="8">
        <v>5.88</v>
      </c>
      <c r="E279" s="8">
        <v>176</v>
      </c>
      <c r="F279" s="8">
        <v>539.22</v>
      </c>
      <c r="G279" s="8">
        <v>107.61</v>
      </c>
      <c r="H279" s="8">
        <v>19.63</v>
      </c>
      <c r="I279" s="7">
        <v>5.89</v>
      </c>
      <c r="J279" s="9">
        <v>3.5165000000000002</v>
      </c>
      <c r="K279" s="10">
        <v>1.06</v>
      </c>
      <c r="L279" s="11">
        <v>8.3843000000000001E-2</v>
      </c>
    </row>
    <row r="280" spans="1:12" ht="15.75" customHeight="1">
      <c r="A280" s="5">
        <v>45717</v>
      </c>
      <c r="B280" s="6">
        <v>4.33</v>
      </c>
      <c r="C280" s="24">
        <v>13.57</v>
      </c>
      <c r="D280" s="8">
        <v>5.68</v>
      </c>
      <c r="E280" s="8">
        <v>182</v>
      </c>
      <c r="F280" s="8">
        <v>547.11</v>
      </c>
      <c r="G280" s="8">
        <v>104.26</v>
      </c>
      <c r="H280" s="8">
        <v>21.27</v>
      </c>
      <c r="I280" s="7">
        <v>5.2</v>
      </c>
      <c r="J280" s="9">
        <v>3.2578</v>
      </c>
      <c r="K280" s="10">
        <v>-0.34</v>
      </c>
      <c r="L280" s="11">
        <v>8.7652999999999995E-2</v>
      </c>
    </row>
    <row r="281" spans="1:12" ht="15.75" customHeight="1">
      <c r="A281" s="5">
        <v>45748</v>
      </c>
      <c r="B281" s="6">
        <v>4.33</v>
      </c>
      <c r="C281" s="24">
        <v>14.15</v>
      </c>
      <c r="D281" s="8">
        <v>5.67</v>
      </c>
      <c r="E281" s="8">
        <v>182</v>
      </c>
      <c r="F281" s="8">
        <v>547.6</v>
      </c>
      <c r="G281" s="8">
        <v>100</v>
      </c>
      <c r="H281" s="8">
        <v>24.6</v>
      </c>
      <c r="I281" s="7">
        <v>4.95</v>
      </c>
      <c r="J281" s="9">
        <v>3.1766999999999999</v>
      </c>
      <c r="K281" s="10">
        <v>0.24</v>
      </c>
      <c r="L281" s="11">
        <v>8.7567000000000006E-2</v>
      </c>
    </row>
    <row r="282" spans="1:12" ht="15.75" customHeight="1">
      <c r="A282" s="5">
        <v>45778</v>
      </c>
      <c r="B282" s="6">
        <v>4.33</v>
      </c>
      <c r="C282" s="24">
        <v>14.55</v>
      </c>
      <c r="D282" s="8">
        <v>5.72</v>
      </c>
      <c r="E282" s="8">
        <v>160</v>
      </c>
      <c r="F282" s="8">
        <v>555.02</v>
      </c>
      <c r="G282" s="8">
        <v>99</v>
      </c>
      <c r="H282" s="8">
        <v>18.57</v>
      </c>
      <c r="I282" s="7">
        <v>4.8600000000000003</v>
      </c>
      <c r="J282" s="9">
        <v>3.1591</v>
      </c>
      <c r="K282" s="10">
        <v>-0.49</v>
      </c>
      <c r="L282" s="11">
        <v>8.9258000000000004E-2</v>
      </c>
    </row>
    <row r="283" spans="1:12" ht="15.75" customHeight="1">
      <c r="A283" s="5">
        <v>45809</v>
      </c>
      <c r="B283" s="6">
        <v>4.33</v>
      </c>
      <c r="C283" s="25">
        <v>14.74</v>
      </c>
      <c r="D283" s="8">
        <v>5.51</v>
      </c>
      <c r="E283" s="8">
        <v>156</v>
      </c>
      <c r="F283" s="8">
        <v>561</v>
      </c>
      <c r="G283" s="8">
        <v>98.49</v>
      </c>
      <c r="H283" s="8">
        <v>20.21</v>
      </c>
      <c r="I283" s="7">
        <v>4.88</v>
      </c>
      <c r="J283" s="9">
        <v>3.1591</v>
      </c>
      <c r="K283" s="10">
        <v>-1.67</v>
      </c>
      <c r="L283" s="11">
        <v>9.2797000000000004E-2</v>
      </c>
    </row>
    <row r="284" spans="1:12" ht="15.75" customHeight="1">
      <c r="B284" s="12"/>
      <c r="C284" s="7"/>
      <c r="K284" s="13"/>
    </row>
    <row r="285" spans="1:12" ht="15.75" customHeight="1">
      <c r="B285" s="12"/>
      <c r="C285" s="14"/>
      <c r="K285" s="3"/>
    </row>
    <row r="286" spans="1:12" ht="15.75" customHeight="1">
      <c r="B286" s="3"/>
      <c r="C286" s="15"/>
      <c r="K286" s="3"/>
    </row>
    <row r="287" spans="1:12" ht="15.75" customHeight="1">
      <c r="B287" s="3"/>
      <c r="C287" s="15"/>
      <c r="K287" s="3"/>
    </row>
    <row r="288" spans="1:12" ht="15.75" customHeight="1">
      <c r="B288" s="3"/>
      <c r="C288" s="15"/>
      <c r="K288" s="3"/>
    </row>
    <row r="289" spans="2:11" ht="15.75" customHeight="1">
      <c r="B289" s="3"/>
      <c r="C289" s="15"/>
      <c r="K289" s="3"/>
    </row>
    <row r="290" spans="2:11" ht="15.75" customHeight="1">
      <c r="B290" s="3"/>
      <c r="C290" s="15"/>
      <c r="K290" s="3"/>
    </row>
    <row r="291" spans="2:11" ht="15.75" customHeight="1">
      <c r="B291" s="3"/>
      <c r="C291" s="15"/>
      <c r="K291" s="3"/>
    </row>
    <row r="292" spans="2:11" ht="15.75" customHeight="1">
      <c r="B292" s="3"/>
      <c r="C292" s="15"/>
      <c r="K292" s="3"/>
    </row>
    <row r="293" spans="2:11" ht="15.75" customHeight="1">
      <c r="B293" s="3"/>
      <c r="C293" s="15"/>
      <c r="K293" s="3"/>
    </row>
    <row r="294" spans="2:11" ht="15.75" customHeight="1">
      <c r="B294" s="3"/>
      <c r="C294" s="15"/>
      <c r="K294" s="3"/>
    </row>
    <row r="295" spans="2:11" ht="15.75" customHeight="1">
      <c r="B295" s="3"/>
      <c r="C295" s="15"/>
      <c r="K295" s="3"/>
    </row>
    <row r="296" spans="2:11" ht="15.75" customHeight="1">
      <c r="B296" s="3"/>
      <c r="C296" s="15"/>
      <c r="K296" s="3"/>
    </row>
    <row r="297" spans="2:11" ht="12.5">
      <c r="B297" s="3"/>
      <c r="C297" s="15"/>
      <c r="K297" s="3"/>
    </row>
    <row r="298" spans="2:11" ht="12.5">
      <c r="B298" s="3"/>
      <c r="C298" s="15"/>
      <c r="K298" s="3"/>
    </row>
    <row r="299" spans="2:11" ht="12.5">
      <c r="B299" s="3"/>
      <c r="C299" s="15"/>
      <c r="K299" s="3"/>
    </row>
    <row r="300" spans="2:11" ht="12.5">
      <c r="B300" s="3"/>
      <c r="C300" s="15"/>
      <c r="K300" s="3"/>
    </row>
    <row r="301" spans="2:11" ht="12.5">
      <c r="B301" s="3"/>
      <c r="C301" s="15"/>
      <c r="K301" s="3"/>
    </row>
    <row r="302" spans="2:11" ht="12.5">
      <c r="B302" s="3"/>
      <c r="C302" s="15"/>
      <c r="K302" s="3"/>
    </row>
    <row r="303" spans="2:11" ht="12.5">
      <c r="B303" s="3"/>
      <c r="C303" s="15"/>
      <c r="K303" s="3"/>
    </row>
    <row r="304" spans="2:11" ht="12.5">
      <c r="B304" s="3"/>
      <c r="C304" s="15"/>
      <c r="K304" s="3"/>
    </row>
    <row r="305" spans="2:11" ht="12.5">
      <c r="B305" s="3"/>
      <c r="C305" s="15"/>
      <c r="K305" s="3"/>
    </row>
    <row r="306" spans="2:11" ht="12.5">
      <c r="B306" s="3"/>
      <c r="C306" s="15"/>
      <c r="K306" s="3"/>
    </row>
    <row r="307" spans="2:11" ht="12.5">
      <c r="B307" s="3"/>
      <c r="C307" s="15"/>
      <c r="K307" s="3"/>
    </row>
    <row r="308" spans="2:11" ht="12.5">
      <c r="B308" s="3"/>
      <c r="C308" s="15"/>
      <c r="K308" s="3"/>
    </row>
    <row r="309" spans="2:11" ht="12.5">
      <c r="B309" s="3"/>
      <c r="C309" s="15"/>
      <c r="K309" s="3"/>
    </row>
    <row r="310" spans="2:11" ht="12.5">
      <c r="B310" s="3"/>
      <c r="C310" s="15"/>
      <c r="K310" s="3"/>
    </row>
    <row r="311" spans="2:11" ht="12.5">
      <c r="B311" s="3"/>
      <c r="C311" s="15"/>
      <c r="K311" s="3"/>
    </row>
    <row r="312" spans="2:11" ht="12.5">
      <c r="B312" s="3"/>
      <c r="C312" s="15"/>
      <c r="K312" s="3"/>
    </row>
    <row r="313" spans="2:11" ht="12.5">
      <c r="B313" s="3"/>
      <c r="C313" s="15"/>
      <c r="K313" s="3"/>
    </row>
    <row r="314" spans="2:11" ht="12.5">
      <c r="B314" s="3"/>
      <c r="C314" s="15"/>
      <c r="K314" s="3"/>
    </row>
    <row r="315" spans="2:11" ht="12.5">
      <c r="B315" s="3"/>
      <c r="C315" s="15"/>
      <c r="K315" s="3"/>
    </row>
    <row r="316" spans="2:11" ht="12.5">
      <c r="B316" s="3"/>
      <c r="C316" s="15"/>
      <c r="K316" s="3"/>
    </row>
    <row r="317" spans="2:11" ht="12.5">
      <c r="B317" s="3"/>
      <c r="C317" s="15"/>
      <c r="K317" s="3"/>
    </row>
    <row r="318" spans="2:11" ht="12.5">
      <c r="B318" s="3"/>
      <c r="C318" s="15"/>
      <c r="K318" s="3"/>
    </row>
    <row r="319" spans="2:11" ht="12.5">
      <c r="B319" s="3"/>
      <c r="C319" s="15"/>
      <c r="K319" s="3"/>
    </row>
    <row r="320" spans="2:11" ht="12.5">
      <c r="B320" s="3"/>
      <c r="C320" s="15"/>
      <c r="K320" s="3"/>
    </row>
    <row r="321" spans="2:11" ht="12.5">
      <c r="B321" s="3"/>
      <c r="C321" s="15"/>
      <c r="K321" s="3"/>
    </row>
    <row r="322" spans="2:11" ht="12.5">
      <c r="B322" s="3"/>
      <c r="C322" s="15"/>
      <c r="K322" s="3"/>
    </row>
    <row r="323" spans="2:11" ht="12.5">
      <c r="B323" s="3"/>
      <c r="C323" s="15"/>
      <c r="K323" s="3"/>
    </row>
    <row r="324" spans="2:11" ht="12.5">
      <c r="B324" s="3"/>
      <c r="C324" s="15"/>
      <c r="K324" s="3"/>
    </row>
    <row r="325" spans="2:11" ht="12.5">
      <c r="B325" s="3"/>
      <c r="C325" s="15"/>
      <c r="K325" s="3"/>
    </row>
    <row r="326" spans="2:11" ht="12.5">
      <c r="B326" s="3"/>
      <c r="C326" s="15"/>
      <c r="K326" s="3"/>
    </row>
    <row r="327" spans="2:11" ht="12.5">
      <c r="B327" s="3"/>
      <c r="C327" s="15"/>
      <c r="K327" s="3"/>
    </row>
    <row r="328" spans="2:11" ht="12.5">
      <c r="B328" s="3"/>
      <c r="C328" s="15"/>
      <c r="K328" s="3"/>
    </row>
    <row r="329" spans="2:11" ht="12.5">
      <c r="B329" s="3"/>
      <c r="C329" s="15"/>
      <c r="K329" s="3"/>
    </row>
    <row r="330" spans="2:11" ht="12.5">
      <c r="B330" s="3"/>
      <c r="C330" s="15"/>
      <c r="K330" s="3"/>
    </row>
    <row r="331" spans="2:11" ht="12.5">
      <c r="B331" s="3"/>
      <c r="C331" s="15"/>
      <c r="K331" s="3"/>
    </row>
    <row r="332" spans="2:11" ht="12.5">
      <c r="B332" s="3"/>
      <c r="C332" s="15"/>
      <c r="K332" s="3"/>
    </row>
    <row r="333" spans="2:11" ht="12.5">
      <c r="B333" s="3"/>
      <c r="C333" s="15"/>
      <c r="K333" s="3"/>
    </row>
    <row r="334" spans="2:11" ht="12.5">
      <c r="B334" s="3"/>
      <c r="C334" s="15"/>
      <c r="K334" s="3"/>
    </row>
    <row r="335" spans="2:11" ht="12.5">
      <c r="B335" s="3"/>
      <c r="C335" s="15"/>
      <c r="K335" s="3"/>
    </row>
    <row r="336" spans="2:11" ht="12.5">
      <c r="B336" s="3"/>
      <c r="C336" s="15"/>
      <c r="K336" s="3"/>
    </row>
    <row r="337" spans="2:11" ht="12.5">
      <c r="B337" s="3"/>
      <c r="C337" s="15"/>
      <c r="K337" s="3"/>
    </row>
    <row r="338" spans="2:11" ht="12.5">
      <c r="B338" s="3"/>
      <c r="C338" s="15"/>
      <c r="K338" s="3"/>
    </row>
    <row r="339" spans="2:11" ht="12.5">
      <c r="B339" s="3"/>
      <c r="C339" s="15"/>
      <c r="K339" s="3"/>
    </row>
    <row r="340" spans="2:11" ht="12.5">
      <c r="B340" s="3"/>
      <c r="C340" s="15"/>
      <c r="K340" s="3"/>
    </row>
    <row r="341" spans="2:11" ht="12.5">
      <c r="B341" s="3"/>
      <c r="C341" s="15"/>
      <c r="K341" s="3"/>
    </row>
    <row r="342" spans="2:11" ht="12.5">
      <c r="B342" s="3"/>
      <c r="C342" s="15"/>
      <c r="K342" s="3"/>
    </row>
    <row r="343" spans="2:11" ht="12.5">
      <c r="B343" s="3"/>
      <c r="C343" s="15"/>
      <c r="K343" s="3"/>
    </row>
    <row r="344" spans="2:11" ht="12.5">
      <c r="B344" s="3"/>
      <c r="C344" s="15"/>
      <c r="K344" s="3"/>
    </row>
    <row r="345" spans="2:11" ht="12.5">
      <c r="B345" s="3"/>
      <c r="C345" s="15"/>
      <c r="K345" s="3"/>
    </row>
    <row r="346" spans="2:11" ht="12.5">
      <c r="B346" s="3"/>
      <c r="C346" s="15"/>
      <c r="K346" s="3"/>
    </row>
    <row r="347" spans="2:11" ht="12.5">
      <c r="B347" s="3"/>
      <c r="C347" s="15"/>
      <c r="K347" s="3"/>
    </row>
    <row r="348" spans="2:11" ht="12.5">
      <c r="B348" s="3"/>
      <c r="C348" s="15"/>
      <c r="K348" s="3"/>
    </row>
    <row r="349" spans="2:11" ht="12.5">
      <c r="B349" s="3"/>
      <c r="C349" s="15"/>
      <c r="K349" s="3"/>
    </row>
    <row r="350" spans="2:11" ht="12.5">
      <c r="B350" s="3"/>
      <c r="C350" s="15"/>
      <c r="K350" s="3"/>
    </row>
    <row r="351" spans="2:11" ht="12.5">
      <c r="B351" s="3"/>
      <c r="C351" s="15"/>
      <c r="K351" s="3"/>
    </row>
    <row r="352" spans="2:11" ht="12.5">
      <c r="B352" s="3"/>
      <c r="C352" s="15"/>
      <c r="K352" s="3"/>
    </row>
    <row r="353" spans="2:11" ht="12.5">
      <c r="B353" s="3"/>
      <c r="C353" s="15"/>
      <c r="K353" s="3"/>
    </row>
    <row r="354" spans="2:11" ht="12.5">
      <c r="B354" s="3"/>
      <c r="C354" s="15"/>
      <c r="K354" s="3"/>
    </row>
    <row r="355" spans="2:11" ht="12.5">
      <c r="B355" s="3"/>
      <c r="C355" s="15"/>
      <c r="K355" s="3"/>
    </row>
    <row r="356" spans="2:11" ht="12.5">
      <c r="B356" s="3"/>
      <c r="C356" s="15"/>
      <c r="K356" s="3"/>
    </row>
    <row r="357" spans="2:11" ht="12.5">
      <c r="B357" s="3"/>
      <c r="C357" s="15"/>
      <c r="K357" s="3"/>
    </row>
    <row r="358" spans="2:11" ht="12.5">
      <c r="B358" s="3"/>
      <c r="C358" s="15"/>
      <c r="K358" s="3"/>
    </row>
    <row r="359" spans="2:11" ht="12.5">
      <c r="B359" s="3"/>
      <c r="C359" s="15"/>
      <c r="K359" s="3"/>
    </row>
    <row r="360" spans="2:11" ht="12.5">
      <c r="B360" s="3"/>
      <c r="C360" s="15"/>
      <c r="K360" s="3"/>
    </row>
    <row r="361" spans="2:11" ht="12.5">
      <c r="B361" s="3"/>
      <c r="C361" s="15"/>
      <c r="K361" s="3"/>
    </row>
    <row r="362" spans="2:11" ht="12.5">
      <c r="B362" s="3"/>
      <c r="C362" s="15"/>
      <c r="K362" s="3"/>
    </row>
    <row r="363" spans="2:11" ht="12.5">
      <c r="B363" s="3"/>
      <c r="C363" s="15"/>
      <c r="K363" s="3"/>
    </row>
    <row r="364" spans="2:11" ht="12.5">
      <c r="B364" s="3"/>
      <c r="C364" s="15"/>
      <c r="K364" s="3"/>
    </row>
    <row r="365" spans="2:11" ht="12.5">
      <c r="B365" s="3"/>
      <c r="C365" s="15"/>
      <c r="K365" s="3"/>
    </row>
    <row r="366" spans="2:11" ht="12.5">
      <c r="B366" s="3"/>
      <c r="C366" s="15"/>
      <c r="K366" s="3"/>
    </row>
    <row r="367" spans="2:11" ht="12.5">
      <c r="B367" s="3"/>
      <c r="C367" s="15"/>
      <c r="K367" s="3"/>
    </row>
    <row r="368" spans="2:11" ht="12.5">
      <c r="B368" s="3"/>
      <c r="C368" s="15"/>
      <c r="K368" s="3"/>
    </row>
    <row r="369" spans="2:11" ht="12.5">
      <c r="B369" s="3"/>
      <c r="C369" s="15"/>
      <c r="K369" s="3"/>
    </row>
    <row r="370" spans="2:11" ht="12.5">
      <c r="B370" s="3"/>
      <c r="C370" s="15"/>
      <c r="K370" s="3"/>
    </row>
    <row r="371" spans="2:11" ht="12.5">
      <c r="B371" s="3"/>
      <c r="C371" s="15"/>
      <c r="K371" s="3"/>
    </row>
    <row r="372" spans="2:11" ht="12.5">
      <c r="B372" s="3"/>
      <c r="C372" s="15"/>
      <c r="K372" s="3"/>
    </row>
    <row r="373" spans="2:11" ht="12.5">
      <c r="B373" s="3"/>
      <c r="C373" s="15"/>
      <c r="K373" s="3"/>
    </row>
    <row r="374" spans="2:11" ht="12.5">
      <c r="B374" s="3"/>
      <c r="C374" s="15"/>
      <c r="K374" s="3"/>
    </row>
    <row r="375" spans="2:11" ht="12.5">
      <c r="B375" s="3"/>
      <c r="C375" s="15"/>
      <c r="K375" s="3"/>
    </row>
    <row r="376" spans="2:11" ht="12.5">
      <c r="B376" s="3"/>
      <c r="C376" s="15"/>
      <c r="K376" s="3"/>
    </row>
    <row r="377" spans="2:11" ht="12.5">
      <c r="B377" s="3"/>
      <c r="C377" s="15"/>
      <c r="K377" s="3"/>
    </row>
    <row r="378" spans="2:11" ht="12.5">
      <c r="B378" s="3"/>
      <c r="C378" s="15"/>
      <c r="K378" s="3"/>
    </row>
    <row r="379" spans="2:11" ht="12.5">
      <c r="B379" s="3"/>
      <c r="C379" s="15"/>
      <c r="K379" s="3"/>
    </row>
    <row r="380" spans="2:11" ht="12.5">
      <c r="B380" s="3"/>
      <c r="C380" s="15"/>
      <c r="K380" s="3"/>
    </row>
    <row r="381" spans="2:11" ht="12.5">
      <c r="B381" s="3"/>
      <c r="C381" s="15"/>
      <c r="K381" s="3"/>
    </row>
    <row r="382" spans="2:11" ht="12.5">
      <c r="B382" s="3"/>
      <c r="C382" s="15"/>
      <c r="K382" s="3"/>
    </row>
    <row r="383" spans="2:11" ht="12.5">
      <c r="B383" s="3"/>
      <c r="C383" s="15"/>
      <c r="K383" s="3"/>
    </row>
    <row r="384" spans="2:11" ht="12.5">
      <c r="B384" s="3"/>
      <c r="C384" s="15"/>
      <c r="K384" s="3"/>
    </row>
    <row r="385" spans="2:11" ht="12.5">
      <c r="B385" s="3"/>
      <c r="C385" s="15"/>
      <c r="K385" s="3"/>
    </row>
    <row r="386" spans="2:11" ht="12.5">
      <c r="B386" s="3"/>
      <c r="C386" s="15"/>
      <c r="K386" s="3"/>
    </row>
    <row r="387" spans="2:11" ht="12.5">
      <c r="B387" s="3"/>
      <c r="C387" s="15"/>
      <c r="K387" s="3"/>
    </row>
    <row r="388" spans="2:11" ht="12.5">
      <c r="B388" s="3"/>
      <c r="C388" s="15"/>
      <c r="K388" s="3"/>
    </row>
    <row r="389" spans="2:11" ht="12.5">
      <c r="B389" s="3"/>
      <c r="C389" s="15"/>
      <c r="K389" s="3"/>
    </row>
    <row r="390" spans="2:11" ht="12.5">
      <c r="B390" s="3"/>
      <c r="C390" s="15"/>
      <c r="K390" s="3"/>
    </row>
    <row r="391" spans="2:11" ht="12.5">
      <c r="B391" s="3"/>
      <c r="C391" s="15"/>
      <c r="K391" s="3"/>
    </row>
    <row r="392" spans="2:11" ht="12.5">
      <c r="B392" s="3"/>
      <c r="C392" s="15"/>
      <c r="K392" s="3"/>
    </row>
    <row r="393" spans="2:11" ht="12.5">
      <c r="B393" s="3"/>
      <c r="C393" s="15"/>
      <c r="K393" s="3"/>
    </row>
    <row r="394" spans="2:11" ht="12.5">
      <c r="B394" s="3"/>
      <c r="C394" s="15"/>
      <c r="K394" s="3"/>
    </row>
    <row r="395" spans="2:11" ht="12.5">
      <c r="B395" s="3"/>
      <c r="C395" s="15"/>
      <c r="K395" s="3"/>
    </row>
    <row r="396" spans="2:11" ht="12.5">
      <c r="B396" s="3"/>
      <c r="C396" s="15"/>
      <c r="K396" s="3"/>
    </row>
    <row r="397" spans="2:11" ht="12.5">
      <c r="B397" s="3"/>
      <c r="C397" s="15"/>
      <c r="K397" s="3"/>
    </row>
    <row r="398" spans="2:11" ht="12.5">
      <c r="B398" s="3"/>
      <c r="C398" s="15"/>
      <c r="K398" s="3"/>
    </row>
    <row r="399" spans="2:11" ht="12.5">
      <c r="B399" s="3"/>
      <c r="C399" s="15"/>
      <c r="K399" s="3"/>
    </row>
    <row r="400" spans="2:11" ht="12.5">
      <c r="B400" s="3"/>
      <c r="C400" s="15"/>
      <c r="K400" s="3"/>
    </row>
    <row r="401" spans="2:11" ht="12.5">
      <c r="B401" s="3"/>
      <c r="C401" s="15"/>
      <c r="K401" s="3"/>
    </row>
    <row r="402" spans="2:11" ht="12.5">
      <c r="B402" s="3"/>
      <c r="C402" s="15"/>
      <c r="K402" s="3"/>
    </row>
    <row r="403" spans="2:11" ht="12.5">
      <c r="B403" s="3"/>
      <c r="C403" s="15"/>
      <c r="K403" s="3"/>
    </row>
    <row r="404" spans="2:11" ht="12.5">
      <c r="B404" s="3"/>
      <c r="C404" s="15"/>
      <c r="K404" s="3"/>
    </row>
    <row r="405" spans="2:11" ht="12.5">
      <c r="B405" s="3"/>
      <c r="C405" s="15"/>
      <c r="K405" s="3"/>
    </row>
    <row r="406" spans="2:11" ht="12.5">
      <c r="B406" s="3"/>
      <c r="C406" s="15"/>
      <c r="K406" s="3"/>
    </row>
    <row r="407" spans="2:11" ht="12.5">
      <c r="B407" s="3"/>
      <c r="C407" s="15"/>
      <c r="K407" s="3"/>
    </row>
    <row r="408" spans="2:11" ht="12.5">
      <c r="B408" s="3"/>
      <c r="C408" s="15"/>
      <c r="K408" s="3"/>
    </row>
    <row r="409" spans="2:11" ht="12.5">
      <c r="B409" s="3"/>
      <c r="C409" s="15"/>
      <c r="K409" s="3"/>
    </row>
    <row r="410" spans="2:11" ht="12.5">
      <c r="B410" s="3"/>
      <c r="C410" s="15"/>
      <c r="K410" s="3"/>
    </row>
    <row r="411" spans="2:11" ht="12.5">
      <c r="B411" s="3"/>
      <c r="C411" s="15"/>
      <c r="K411" s="3"/>
    </row>
    <row r="412" spans="2:11" ht="12.5">
      <c r="B412" s="3"/>
      <c r="C412" s="15"/>
      <c r="K412" s="3"/>
    </row>
    <row r="413" spans="2:11" ht="12.5">
      <c r="B413" s="3"/>
      <c r="C413" s="15"/>
      <c r="K413" s="3"/>
    </row>
    <row r="414" spans="2:11" ht="12.5">
      <c r="B414" s="3"/>
      <c r="C414" s="15"/>
      <c r="K414" s="3"/>
    </row>
    <row r="415" spans="2:11" ht="12.5">
      <c r="B415" s="3"/>
      <c r="C415" s="15"/>
      <c r="K415" s="3"/>
    </row>
    <row r="416" spans="2:11" ht="12.5">
      <c r="B416" s="3"/>
      <c r="C416" s="15"/>
      <c r="K416" s="3"/>
    </row>
    <row r="417" spans="2:11" ht="12.5">
      <c r="B417" s="3"/>
      <c r="C417" s="15"/>
      <c r="K417" s="3"/>
    </row>
    <row r="418" spans="2:11" ht="12.5">
      <c r="B418" s="3"/>
      <c r="C418" s="15"/>
      <c r="K418" s="3"/>
    </row>
    <row r="419" spans="2:11" ht="12.5">
      <c r="B419" s="3"/>
      <c r="C419" s="15"/>
      <c r="K419" s="3"/>
    </row>
    <row r="420" spans="2:11" ht="12.5">
      <c r="B420" s="3"/>
      <c r="C420" s="15"/>
      <c r="K420" s="3"/>
    </row>
    <row r="421" spans="2:11" ht="12.5">
      <c r="B421" s="3"/>
      <c r="C421" s="15"/>
      <c r="K421" s="3"/>
    </row>
    <row r="422" spans="2:11" ht="12.5">
      <c r="B422" s="3"/>
      <c r="C422" s="15"/>
      <c r="K422" s="3"/>
    </row>
    <row r="423" spans="2:11" ht="12.5">
      <c r="B423" s="3"/>
      <c r="C423" s="15"/>
      <c r="K423" s="3"/>
    </row>
    <row r="424" spans="2:11" ht="12.5">
      <c r="B424" s="3"/>
      <c r="C424" s="15"/>
      <c r="K424" s="3"/>
    </row>
    <row r="425" spans="2:11" ht="12.5">
      <c r="B425" s="3"/>
      <c r="C425" s="15"/>
      <c r="K425" s="3"/>
    </row>
    <row r="426" spans="2:11" ht="12.5">
      <c r="B426" s="3"/>
      <c r="C426" s="15"/>
      <c r="K426" s="3"/>
    </row>
    <row r="427" spans="2:11" ht="12.5">
      <c r="B427" s="3"/>
      <c r="C427" s="15"/>
      <c r="K427" s="3"/>
    </row>
    <row r="428" spans="2:11" ht="12.5">
      <c r="B428" s="3"/>
      <c r="C428" s="15"/>
      <c r="K428" s="3"/>
    </row>
    <row r="429" spans="2:11" ht="12.5">
      <c r="B429" s="3"/>
      <c r="C429" s="15"/>
      <c r="K429" s="3"/>
    </row>
    <row r="430" spans="2:11" ht="12.5">
      <c r="B430" s="3"/>
      <c r="C430" s="15"/>
      <c r="K430" s="3"/>
    </row>
    <row r="431" spans="2:11" ht="12.5">
      <c r="B431" s="3"/>
      <c r="C431" s="15"/>
      <c r="K431" s="3"/>
    </row>
    <row r="432" spans="2:11" ht="12.5">
      <c r="B432" s="3"/>
      <c r="C432" s="15"/>
      <c r="K432" s="3"/>
    </row>
    <row r="433" spans="2:11" ht="12.5">
      <c r="B433" s="3"/>
      <c r="C433" s="15"/>
      <c r="K433" s="3"/>
    </row>
    <row r="434" spans="2:11" ht="12.5">
      <c r="B434" s="3"/>
      <c r="C434" s="15"/>
      <c r="K434" s="3"/>
    </row>
    <row r="435" spans="2:11" ht="12.5">
      <c r="B435" s="3"/>
      <c r="C435" s="15"/>
      <c r="K435" s="3"/>
    </row>
    <row r="436" spans="2:11" ht="12.5">
      <c r="B436" s="3"/>
      <c r="C436" s="15"/>
      <c r="K436" s="3"/>
    </row>
    <row r="437" spans="2:11" ht="12.5">
      <c r="B437" s="3"/>
      <c r="C437" s="15"/>
      <c r="K437" s="3"/>
    </row>
    <row r="438" spans="2:11" ht="12.5">
      <c r="B438" s="3"/>
      <c r="C438" s="15"/>
      <c r="K438" s="3"/>
    </row>
    <row r="439" spans="2:11" ht="12.5">
      <c r="B439" s="3"/>
      <c r="C439" s="15"/>
      <c r="K439" s="3"/>
    </row>
    <row r="440" spans="2:11" ht="12.5">
      <c r="B440" s="3"/>
      <c r="C440" s="15"/>
      <c r="K440" s="3"/>
    </row>
    <row r="441" spans="2:11" ht="12.5">
      <c r="B441" s="3"/>
      <c r="C441" s="15"/>
      <c r="K441" s="3"/>
    </row>
    <row r="442" spans="2:11" ht="12.5">
      <c r="B442" s="3"/>
      <c r="C442" s="15"/>
      <c r="K442" s="3"/>
    </row>
    <row r="443" spans="2:11" ht="12.5">
      <c r="B443" s="3"/>
      <c r="C443" s="15"/>
      <c r="K443" s="3"/>
    </row>
    <row r="444" spans="2:11" ht="12.5">
      <c r="B444" s="3"/>
      <c r="C444" s="15"/>
      <c r="K444" s="3"/>
    </row>
    <row r="445" spans="2:11" ht="12.5">
      <c r="B445" s="3"/>
      <c r="C445" s="15"/>
      <c r="K445" s="3"/>
    </row>
    <row r="446" spans="2:11" ht="12.5">
      <c r="B446" s="3"/>
      <c r="C446" s="15"/>
      <c r="K446" s="3"/>
    </row>
    <row r="447" spans="2:11" ht="12.5">
      <c r="B447" s="3"/>
      <c r="C447" s="15"/>
      <c r="K447" s="3"/>
    </row>
    <row r="448" spans="2:11" ht="12.5">
      <c r="B448" s="3"/>
      <c r="C448" s="15"/>
      <c r="K448" s="3"/>
    </row>
    <row r="449" spans="2:11" ht="12.5">
      <c r="B449" s="3"/>
      <c r="C449" s="15"/>
      <c r="K449" s="3"/>
    </row>
    <row r="450" spans="2:11" ht="12.5">
      <c r="B450" s="3"/>
      <c r="C450" s="15"/>
      <c r="K450" s="3"/>
    </row>
    <row r="451" spans="2:11" ht="12.5">
      <c r="B451" s="3"/>
      <c r="C451" s="15"/>
      <c r="K451" s="3"/>
    </row>
    <row r="452" spans="2:11" ht="12.5">
      <c r="B452" s="3"/>
      <c r="C452" s="15"/>
      <c r="K452" s="3"/>
    </row>
    <row r="453" spans="2:11" ht="12.5">
      <c r="B453" s="3"/>
      <c r="C453" s="15"/>
      <c r="K453" s="3"/>
    </row>
    <row r="454" spans="2:11" ht="12.5">
      <c r="B454" s="3"/>
      <c r="C454" s="15"/>
      <c r="K454" s="3"/>
    </row>
    <row r="455" spans="2:11" ht="12.5">
      <c r="B455" s="3"/>
      <c r="C455" s="15"/>
      <c r="K455" s="3"/>
    </row>
    <row r="456" spans="2:11" ht="12.5">
      <c r="B456" s="3"/>
      <c r="C456" s="15"/>
      <c r="K456" s="3"/>
    </row>
    <row r="457" spans="2:11" ht="12.5">
      <c r="B457" s="3"/>
      <c r="C457" s="15"/>
      <c r="K457" s="3"/>
    </row>
    <row r="458" spans="2:11" ht="12.5">
      <c r="B458" s="3"/>
      <c r="C458" s="15"/>
      <c r="K458" s="3"/>
    </row>
    <row r="459" spans="2:11" ht="12.5">
      <c r="B459" s="3"/>
      <c r="C459" s="15"/>
      <c r="K459" s="3"/>
    </row>
    <row r="460" spans="2:11" ht="12.5">
      <c r="B460" s="3"/>
      <c r="C460" s="15"/>
      <c r="K460" s="3"/>
    </row>
    <row r="461" spans="2:11" ht="12.5">
      <c r="B461" s="3"/>
      <c r="C461" s="15"/>
      <c r="K461" s="3"/>
    </row>
    <row r="462" spans="2:11" ht="12.5">
      <c r="B462" s="3"/>
      <c r="C462" s="15"/>
      <c r="K462" s="3"/>
    </row>
    <row r="463" spans="2:11" ht="12.5">
      <c r="B463" s="3"/>
      <c r="C463" s="15"/>
      <c r="K463" s="3"/>
    </row>
    <row r="464" spans="2:11" ht="12.5">
      <c r="B464" s="3"/>
      <c r="C464" s="15"/>
      <c r="K464" s="3"/>
    </row>
    <row r="465" spans="2:11" ht="12.5">
      <c r="B465" s="3"/>
      <c r="C465" s="15"/>
      <c r="K465" s="3"/>
    </row>
    <row r="466" spans="2:11" ht="12.5">
      <c r="B466" s="3"/>
      <c r="C466" s="15"/>
      <c r="K466" s="3"/>
    </row>
    <row r="467" spans="2:11" ht="12.5">
      <c r="B467" s="3"/>
      <c r="C467" s="15"/>
      <c r="K467" s="3"/>
    </row>
    <row r="468" spans="2:11" ht="12.5">
      <c r="B468" s="3"/>
      <c r="C468" s="15"/>
      <c r="K468" s="3"/>
    </row>
    <row r="469" spans="2:11" ht="12.5">
      <c r="B469" s="3"/>
      <c r="C469" s="15"/>
      <c r="K469" s="3"/>
    </row>
    <row r="470" spans="2:11" ht="12.5">
      <c r="B470" s="3"/>
      <c r="C470" s="15"/>
      <c r="K470" s="3"/>
    </row>
    <row r="471" spans="2:11" ht="12.5">
      <c r="B471" s="3"/>
      <c r="C471" s="15"/>
      <c r="K471" s="3"/>
    </row>
    <row r="472" spans="2:11" ht="12.5">
      <c r="B472" s="3"/>
      <c r="C472" s="15"/>
      <c r="K472" s="3"/>
    </row>
    <row r="473" spans="2:11" ht="12.5">
      <c r="B473" s="3"/>
      <c r="C473" s="15"/>
      <c r="K473" s="3"/>
    </row>
    <row r="474" spans="2:11" ht="12.5">
      <c r="B474" s="3"/>
      <c r="C474" s="15"/>
      <c r="K474" s="3"/>
    </row>
    <row r="475" spans="2:11" ht="12.5">
      <c r="B475" s="3"/>
      <c r="C475" s="15"/>
      <c r="K475" s="3"/>
    </row>
    <row r="476" spans="2:11" ht="12.5">
      <c r="B476" s="3"/>
      <c r="C476" s="15"/>
      <c r="K476" s="3"/>
    </row>
    <row r="477" spans="2:11" ht="12.5">
      <c r="B477" s="3"/>
      <c r="C477" s="15"/>
      <c r="K477" s="3"/>
    </row>
    <row r="478" spans="2:11" ht="12.5">
      <c r="B478" s="3"/>
      <c r="C478" s="15"/>
      <c r="K478" s="3"/>
    </row>
    <row r="479" spans="2:11" ht="12.5">
      <c r="B479" s="3"/>
      <c r="C479" s="15"/>
      <c r="K479" s="3"/>
    </row>
    <row r="480" spans="2:11" ht="12.5">
      <c r="B480" s="3"/>
      <c r="C480" s="15"/>
      <c r="K480" s="3"/>
    </row>
    <row r="481" spans="2:11" ht="12.5">
      <c r="B481" s="3"/>
      <c r="C481" s="15"/>
      <c r="K481" s="3"/>
    </row>
    <row r="482" spans="2:11" ht="12.5">
      <c r="B482" s="3"/>
      <c r="C482" s="15"/>
      <c r="K482" s="3"/>
    </row>
    <row r="483" spans="2:11" ht="12.5">
      <c r="B483" s="3"/>
      <c r="C483" s="15"/>
      <c r="K483" s="3"/>
    </row>
    <row r="484" spans="2:11" ht="12.5">
      <c r="B484" s="3"/>
      <c r="C484" s="15"/>
      <c r="K484" s="3"/>
    </row>
    <row r="485" spans="2:11" ht="12.5">
      <c r="B485" s="3"/>
      <c r="C485" s="15"/>
      <c r="K485" s="3"/>
    </row>
    <row r="486" spans="2:11" ht="12.5">
      <c r="B486" s="3"/>
      <c r="C486" s="15"/>
      <c r="K486" s="3"/>
    </row>
    <row r="487" spans="2:11" ht="12.5">
      <c r="B487" s="3"/>
      <c r="C487" s="15"/>
      <c r="K487" s="3"/>
    </row>
    <row r="488" spans="2:11" ht="12.5">
      <c r="B488" s="3"/>
      <c r="C488" s="15"/>
      <c r="K488" s="3"/>
    </row>
    <row r="489" spans="2:11" ht="12.5">
      <c r="B489" s="3"/>
      <c r="C489" s="15"/>
      <c r="K489" s="3"/>
    </row>
    <row r="490" spans="2:11" ht="12.5">
      <c r="B490" s="3"/>
      <c r="C490" s="15"/>
      <c r="K490" s="3"/>
    </row>
    <row r="491" spans="2:11" ht="12.5">
      <c r="B491" s="3"/>
      <c r="C491" s="15"/>
      <c r="K491" s="3"/>
    </row>
    <row r="492" spans="2:11" ht="12.5">
      <c r="B492" s="3"/>
      <c r="C492" s="15"/>
      <c r="K492" s="3"/>
    </row>
    <row r="493" spans="2:11" ht="12.5">
      <c r="B493" s="3"/>
      <c r="C493" s="15"/>
      <c r="K493" s="3"/>
    </row>
    <row r="494" spans="2:11" ht="12.5">
      <c r="B494" s="3"/>
      <c r="C494" s="15"/>
      <c r="K494" s="3"/>
    </row>
    <row r="495" spans="2:11" ht="12.5">
      <c r="B495" s="3"/>
      <c r="C495" s="15"/>
      <c r="K495" s="3"/>
    </row>
    <row r="496" spans="2:11" ht="12.5">
      <c r="B496" s="3"/>
      <c r="C496" s="15"/>
      <c r="K496" s="3"/>
    </row>
    <row r="497" spans="2:11" ht="12.5">
      <c r="B497" s="3"/>
      <c r="C497" s="15"/>
      <c r="K497" s="3"/>
    </row>
    <row r="498" spans="2:11" ht="12.5">
      <c r="B498" s="3"/>
      <c r="C498" s="15"/>
      <c r="K498" s="3"/>
    </row>
    <row r="499" spans="2:11" ht="12.5">
      <c r="B499" s="3"/>
      <c r="C499" s="15"/>
      <c r="K499" s="3"/>
    </row>
    <row r="500" spans="2:11" ht="12.5">
      <c r="B500" s="3"/>
      <c r="C500" s="15"/>
      <c r="K500" s="3"/>
    </row>
    <row r="501" spans="2:11" ht="12.5">
      <c r="B501" s="3"/>
      <c r="C501" s="15"/>
      <c r="K501" s="3"/>
    </row>
    <row r="502" spans="2:11" ht="12.5">
      <c r="B502" s="3"/>
      <c r="C502" s="15"/>
      <c r="K502" s="3"/>
    </row>
    <row r="503" spans="2:11" ht="12.5">
      <c r="B503" s="3"/>
      <c r="C503" s="15"/>
      <c r="K503" s="3"/>
    </row>
    <row r="504" spans="2:11" ht="12.5">
      <c r="B504" s="3"/>
      <c r="C504" s="15"/>
      <c r="K504" s="3"/>
    </row>
    <row r="505" spans="2:11" ht="12.5">
      <c r="B505" s="3"/>
      <c r="C505" s="15"/>
      <c r="K505" s="3"/>
    </row>
    <row r="506" spans="2:11" ht="12.5">
      <c r="B506" s="3"/>
      <c r="C506" s="15"/>
      <c r="K506" s="3"/>
    </row>
    <row r="507" spans="2:11" ht="12.5">
      <c r="B507" s="3"/>
      <c r="C507" s="15"/>
      <c r="K507" s="3"/>
    </row>
    <row r="508" spans="2:11" ht="12.5">
      <c r="B508" s="3"/>
      <c r="C508" s="15"/>
      <c r="K508" s="3"/>
    </row>
    <row r="509" spans="2:11" ht="12.5">
      <c r="B509" s="3"/>
      <c r="C509" s="15"/>
      <c r="K509" s="3"/>
    </row>
    <row r="510" spans="2:11" ht="12.5">
      <c r="B510" s="3"/>
      <c r="C510" s="15"/>
      <c r="K510" s="3"/>
    </row>
    <row r="511" spans="2:11" ht="12.5">
      <c r="B511" s="3"/>
      <c r="C511" s="15"/>
      <c r="K511" s="3"/>
    </row>
    <row r="512" spans="2:11" ht="12.5">
      <c r="B512" s="3"/>
      <c r="C512" s="15"/>
      <c r="K512" s="3"/>
    </row>
    <row r="513" spans="2:11" ht="12.5">
      <c r="B513" s="3"/>
      <c r="C513" s="15"/>
      <c r="K513" s="3"/>
    </row>
    <row r="514" spans="2:11" ht="12.5">
      <c r="B514" s="3"/>
      <c r="C514" s="15"/>
      <c r="K514" s="3"/>
    </row>
    <row r="515" spans="2:11" ht="12.5">
      <c r="B515" s="3"/>
      <c r="C515" s="15"/>
      <c r="K515" s="3"/>
    </row>
    <row r="516" spans="2:11" ht="12.5">
      <c r="B516" s="3"/>
      <c r="C516" s="15"/>
      <c r="K516" s="3"/>
    </row>
    <row r="517" spans="2:11" ht="12.5">
      <c r="B517" s="3"/>
      <c r="C517" s="15"/>
      <c r="K517" s="3"/>
    </row>
    <row r="518" spans="2:11" ht="12.5">
      <c r="B518" s="3"/>
      <c r="C518" s="15"/>
      <c r="K518" s="3"/>
    </row>
    <row r="519" spans="2:11" ht="12.5">
      <c r="B519" s="3"/>
      <c r="C519" s="15"/>
      <c r="K519" s="3"/>
    </row>
    <row r="520" spans="2:11" ht="12.5">
      <c r="B520" s="3"/>
      <c r="C520" s="15"/>
      <c r="K520" s="3"/>
    </row>
    <row r="521" spans="2:11" ht="12.5">
      <c r="B521" s="3"/>
      <c r="C521" s="15"/>
      <c r="K521" s="3"/>
    </row>
    <row r="522" spans="2:11" ht="12.5">
      <c r="B522" s="3"/>
      <c r="C522" s="15"/>
      <c r="K522" s="3"/>
    </row>
    <row r="523" spans="2:11" ht="12.5">
      <c r="B523" s="3"/>
      <c r="C523" s="15"/>
      <c r="K523" s="3"/>
    </row>
    <row r="524" spans="2:11" ht="12.5">
      <c r="B524" s="3"/>
      <c r="C524" s="15"/>
      <c r="K524" s="3"/>
    </row>
    <row r="525" spans="2:11" ht="12.5">
      <c r="B525" s="3"/>
      <c r="C525" s="15"/>
      <c r="K525" s="3"/>
    </row>
    <row r="526" spans="2:11" ht="12.5">
      <c r="B526" s="3"/>
      <c r="C526" s="15"/>
      <c r="K526" s="3"/>
    </row>
    <row r="527" spans="2:11" ht="12.5">
      <c r="B527" s="3"/>
      <c r="C527" s="15"/>
      <c r="K527" s="3"/>
    </row>
    <row r="528" spans="2:11" ht="12.5">
      <c r="B528" s="3"/>
      <c r="C528" s="15"/>
      <c r="K528" s="3"/>
    </row>
    <row r="529" spans="2:11" ht="12.5">
      <c r="B529" s="3"/>
      <c r="C529" s="15"/>
      <c r="K529" s="3"/>
    </row>
    <row r="530" spans="2:11" ht="12.5">
      <c r="B530" s="3"/>
      <c r="C530" s="15"/>
      <c r="K530" s="3"/>
    </row>
    <row r="531" spans="2:11" ht="12.5">
      <c r="B531" s="3"/>
      <c r="C531" s="15"/>
      <c r="K531" s="3"/>
    </row>
    <row r="532" spans="2:11" ht="12.5">
      <c r="B532" s="3"/>
      <c r="C532" s="15"/>
      <c r="K532" s="3"/>
    </row>
    <row r="533" spans="2:11" ht="12.5">
      <c r="B533" s="3"/>
      <c r="C533" s="15"/>
      <c r="K533" s="3"/>
    </row>
    <row r="534" spans="2:11" ht="12.5">
      <c r="B534" s="3"/>
      <c r="C534" s="15"/>
      <c r="K534" s="3"/>
    </row>
    <row r="535" spans="2:11" ht="12.5">
      <c r="B535" s="3"/>
      <c r="C535" s="15"/>
      <c r="K535" s="3"/>
    </row>
    <row r="536" spans="2:11" ht="12.5">
      <c r="B536" s="3"/>
      <c r="C536" s="15"/>
      <c r="K536" s="3"/>
    </row>
    <row r="537" spans="2:11" ht="12.5">
      <c r="B537" s="3"/>
      <c r="C537" s="15"/>
      <c r="K537" s="3"/>
    </row>
    <row r="538" spans="2:11" ht="12.5">
      <c r="B538" s="3"/>
      <c r="C538" s="15"/>
      <c r="K538" s="3"/>
    </row>
    <row r="539" spans="2:11" ht="12.5">
      <c r="B539" s="3"/>
      <c r="C539" s="15"/>
      <c r="K539" s="3"/>
    </row>
    <row r="540" spans="2:11" ht="12.5">
      <c r="B540" s="3"/>
      <c r="C540" s="15"/>
      <c r="K540" s="3"/>
    </row>
    <row r="541" spans="2:11" ht="12.5">
      <c r="B541" s="3"/>
      <c r="C541" s="15"/>
      <c r="K541" s="3"/>
    </row>
    <row r="542" spans="2:11" ht="12.5">
      <c r="B542" s="3"/>
      <c r="C542" s="15"/>
      <c r="K542" s="3"/>
    </row>
    <row r="543" spans="2:11" ht="12.5">
      <c r="B543" s="3"/>
      <c r="C543" s="15"/>
      <c r="K543" s="3"/>
    </row>
    <row r="544" spans="2:11" ht="12.5">
      <c r="B544" s="3"/>
      <c r="C544" s="15"/>
      <c r="K544" s="3"/>
    </row>
    <row r="545" spans="2:11" ht="12.5">
      <c r="B545" s="3"/>
      <c r="C545" s="15"/>
      <c r="K545" s="3"/>
    </row>
    <row r="546" spans="2:11" ht="12.5">
      <c r="B546" s="3"/>
      <c r="C546" s="15"/>
      <c r="K546" s="3"/>
    </row>
    <row r="547" spans="2:11" ht="12.5">
      <c r="B547" s="3"/>
      <c r="C547" s="15"/>
      <c r="K547" s="3"/>
    </row>
    <row r="548" spans="2:11" ht="12.5">
      <c r="B548" s="3"/>
      <c r="C548" s="15"/>
      <c r="K548" s="3"/>
    </row>
    <row r="549" spans="2:11" ht="12.5">
      <c r="B549" s="3"/>
      <c r="C549" s="15"/>
      <c r="K549" s="3"/>
    </row>
    <row r="550" spans="2:11" ht="12.5">
      <c r="B550" s="3"/>
      <c r="C550" s="15"/>
      <c r="K550" s="3"/>
    </row>
    <row r="551" spans="2:11" ht="12.5">
      <c r="B551" s="3"/>
      <c r="C551" s="15"/>
      <c r="K551" s="3"/>
    </row>
    <row r="552" spans="2:11" ht="12.5">
      <c r="B552" s="3"/>
      <c r="C552" s="15"/>
      <c r="K552" s="3"/>
    </row>
    <row r="553" spans="2:11" ht="12.5">
      <c r="B553" s="3"/>
      <c r="C553" s="15"/>
      <c r="K553" s="3"/>
    </row>
    <row r="554" spans="2:11" ht="12.5">
      <c r="B554" s="3"/>
      <c r="C554" s="15"/>
      <c r="K554" s="3"/>
    </row>
    <row r="555" spans="2:11" ht="12.5">
      <c r="B555" s="3"/>
      <c r="C555" s="15"/>
      <c r="K555" s="3"/>
    </row>
    <row r="556" spans="2:11" ht="12.5">
      <c r="B556" s="3"/>
      <c r="C556" s="15"/>
      <c r="K556" s="3"/>
    </row>
    <row r="557" spans="2:11" ht="12.5">
      <c r="B557" s="3"/>
      <c r="C557" s="15"/>
      <c r="K557" s="3"/>
    </row>
    <row r="558" spans="2:11" ht="12.5">
      <c r="B558" s="3"/>
      <c r="C558" s="15"/>
      <c r="K558" s="3"/>
    </row>
    <row r="559" spans="2:11" ht="12.5">
      <c r="B559" s="3"/>
      <c r="C559" s="15"/>
      <c r="K559" s="3"/>
    </row>
    <row r="560" spans="2:11" ht="12.5">
      <c r="B560" s="3"/>
      <c r="C560" s="15"/>
      <c r="K560" s="3"/>
    </row>
    <row r="561" spans="2:11" ht="12.5">
      <c r="B561" s="3"/>
      <c r="C561" s="15"/>
      <c r="K561" s="3"/>
    </row>
    <row r="562" spans="2:11" ht="12.5">
      <c r="B562" s="3"/>
      <c r="C562" s="15"/>
      <c r="K562" s="3"/>
    </row>
    <row r="563" spans="2:11" ht="12.5">
      <c r="B563" s="3"/>
      <c r="C563" s="15"/>
      <c r="K563" s="3"/>
    </row>
    <row r="564" spans="2:11" ht="12.5">
      <c r="B564" s="3"/>
      <c r="C564" s="15"/>
      <c r="K564" s="3"/>
    </row>
    <row r="565" spans="2:11" ht="12.5">
      <c r="B565" s="3"/>
      <c r="C565" s="15"/>
      <c r="K565" s="3"/>
    </row>
    <row r="566" spans="2:11" ht="12.5">
      <c r="B566" s="3"/>
      <c r="C566" s="15"/>
      <c r="K566" s="3"/>
    </row>
    <row r="567" spans="2:11" ht="12.5">
      <c r="B567" s="3"/>
      <c r="C567" s="15"/>
      <c r="K567" s="3"/>
    </row>
    <row r="568" spans="2:11" ht="12.5">
      <c r="B568" s="3"/>
      <c r="C568" s="15"/>
      <c r="K568" s="3"/>
    </row>
    <row r="569" spans="2:11" ht="12.5">
      <c r="B569" s="3"/>
      <c r="C569" s="15"/>
      <c r="K569" s="3"/>
    </row>
    <row r="570" spans="2:11" ht="12.5">
      <c r="B570" s="3"/>
      <c r="C570" s="15"/>
      <c r="K570" s="3"/>
    </row>
    <row r="571" spans="2:11" ht="12.5">
      <c r="B571" s="3"/>
      <c r="C571" s="15"/>
      <c r="K571" s="3"/>
    </row>
    <row r="572" spans="2:11" ht="12.5">
      <c r="B572" s="3"/>
      <c r="C572" s="15"/>
      <c r="K572" s="3"/>
    </row>
    <row r="573" spans="2:11" ht="12.5">
      <c r="B573" s="3"/>
      <c r="C573" s="15"/>
      <c r="K573" s="3"/>
    </row>
    <row r="574" spans="2:11" ht="12.5">
      <c r="B574" s="3"/>
      <c r="C574" s="15"/>
      <c r="K574" s="3"/>
    </row>
    <row r="575" spans="2:11" ht="12.5">
      <c r="B575" s="3"/>
      <c r="C575" s="15"/>
      <c r="K575" s="3"/>
    </row>
    <row r="576" spans="2:11" ht="12.5">
      <c r="B576" s="3"/>
      <c r="C576" s="15"/>
      <c r="K576" s="3"/>
    </row>
    <row r="577" spans="2:11" ht="12.5">
      <c r="B577" s="3"/>
      <c r="C577" s="15"/>
      <c r="K577" s="3"/>
    </row>
    <row r="578" spans="2:11" ht="12.5">
      <c r="B578" s="3"/>
      <c r="C578" s="15"/>
      <c r="K578" s="3"/>
    </row>
    <row r="579" spans="2:11" ht="12.5">
      <c r="B579" s="3"/>
      <c r="C579" s="15"/>
      <c r="K579" s="3"/>
    </row>
    <row r="580" spans="2:11" ht="12.5">
      <c r="B580" s="3"/>
      <c r="C580" s="15"/>
      <c r="K580" s="3"/>
    </row>
    <row r="581" spans="2:11" ht="12.5">
      <c r="B581" s="3"/>
      <c r="C581" s="15"/>
      <c r="K581" s="3"/>
    </row>
    <row r="582" spans="2:11" ht="12.5">
      <c r="B582" s="3"/>
      <c r="C582" s="15"/>
      <c r="K582" s="3"/>
    </row>
    <row r="583" spans="2:11" ht="12.5">
      <c r="B583" s="3"/>
      <c r="C583" s="15"/>
      <c r="K583" s="3"/>
    </row>
    <row r="584" spans="2:11" ht="12.5">
      <c r="B584" s="3"/>
      <c r="C584" s="15"/>
      <c r="K584" s="3"/>
    </row>
    <row r="585" spans="2:11" ht="12.5">
      <c r="B585" s="3"/>
      <c r="C585" s="15"/>
      <c r="K585" s="3"/>
    </row>
    <row r="586" spans="2:11" ht="12.5">
      <c r="B586" s="3"/>
      <c r="C586" s="15"/>
      <c r="K586" s="3"/>
    </row>
    <row r="587" spans="2:11" ht="12.5">
      <c r="B587" s="3"/>
      <c r="C587" s="15"/>
      <c r="K587" s="3"/>
    </row>
    <row r="588" spans="2:11" ht="12.5">
      <c r="B588" s="3"/>
      <c r="C588" s="15"/>
      <c r="K588" s="3"/>
    </row>
    <row r="589" spans="2:11" ht="12.5">
      <c r="B589" s="3"/>
      <c r="C589" s="15"/>
      <c r="K589" s="3"/>
    </row>
    <row r="590" spans="2:11" ht="12.5">
      <c r="B590" s="3"/>
      <c r="C590" s="15"/>
      <c r="K590" s="3"/>
    </row>
    <row r="591" spans="2:11" ht="12.5">
      <c r="B591" s="3"/>
      <c r="C591" s="15"/>
      <c r="K591" s="3"/>
    </row>
    <row r="592" spans="2:11" ht="12.5">
      <c r="B592" s="3"/>
      <c r="C592" s="15"/>
      <c r="K592" s="3"/>
    </row>
    <row r="593" spans="2:11" ht="12.5">
      <c r="B593" s="3"/>
      <c r="C593" s="15"/>
      <c r="K593" s="3"/>
    </row>
    <row r="594" spans="2:11" ht="12.5">
      <c r="B594" s="3"/>
      <c r="C594" s="15"/>
      <c r="K594" s="3"/>
    </row>
    <row r="595" spans="2:11" ht="12.5">
      <c r="B595" s="3"/>
      <c r="C595" s="15"/>
      <c r="K595" s="3"/>
    </row>
    <row r="596" spans="2:11" ht="12.5">
      <c r="B596" s="3"/>
      <c r="C596" s="15"/>
      <c r="K596" s="3"/>
    </row>
    <row r="597" spans="2:11" ht="12.5">
      <c r="B597" s="3"/>
      <c r="C597" s="15"/>
      <c r="K597" s="3"/>
    </row>
    <row r="598" spans="2:11" ht="12.5">
      <c r="B598" s="3"/>
      <c r="C598" s="15"/>
      <c r="K598" s="3"/>
    </row>
    <row r="599" spans="2:11" ht="12.5">
      <c r="B599" s="3"/>
      <c r="C599" s="15"/>
      <c r="K599" s="3"/>
    </row>
    <row r="600" spans="2:11" ht="12.5">
      <c r="B600" s="3"/>
      <c r="C600" s="15"/>
      <c r="K600" s="3"/>
    </row>
    <row r="601" spans="2:11" ht="12.5">
      <c r="B601" s="3"/>
      <c r="C601" s="15"/>
      <c r="K601" s="3"/>
    </row>
    <row r="602" spans="2:11" ht="12.5">
      <c r="B602" s="3"/>
      <c r="C602" s="15"/>
      <c r="K602" s="3"/>
    </row>
    <row r="603" spans="2:11" ht="12.5">
      <c r="B603" s="3"/>
      <c r="C603" s="15"/>
      <c r="K603" s="3"/>
    </row>
    <row r="604" spans="2:11" ht="12.5">
      <c r="B604" s="3"/>
      <c r="C604" s="15"/>
      <c r="K604" s="3"/>
    </row>
    <row r="605" spans="2:11" ht="12.5">
      <c r="B605" s="3"/>
      <c r="C605" s="15"/>
      <c r="K605" s="3"/>
    </row>
    <row r="606" spans="2:11" ht="12.5">
      <c r="B606" s="3"/>
      <c r="C606" s="15"/>
      <c r="K606" s="3"/>
    </row>
    <row r="607" spans="2:11" ht="12.5">
      <c r="B607" s="3"/>
      <c r="C607" s="15"/>
      <c r="K607" s="3"/>
    </row>
    <row r="608" spans="2:11" ht="12.5">
      <c r="B608" s="3"/>
      <c r="C608" s="15"/>
      <c r="K608" s="3"/>
    </row>
    <row r="609" spans="2:11" ht="12.5">
      <c r="B609" s="3"/>
      <c r="C609" s="15"/>
      <c r="K609" s="3"/>
    </row>
    <row r="610" spans="2:11" ht="12.5">
      <c r="B610" s="3"/>
      <c r="C610" s="15"/>
      <c r="K610" s="3"/>
    </row>
    <row r="611" spans="2:11" ht="12.5">
      <c r="B611" s="3"/>
      <c r="C611" s="15"/>
      <c r="K611" s="3"/>
    </row>
    <row r="612" spans="2:11" ht="12.5">
      <c r="B612" s="3"/>
      <c r="C612" s="15"/>
      <c r="K612" s="3"/>
    </row>
    <row r="613" spans="2:11" ht="12.5">
      <c r="B613" s="3"/>
      <c r="C613" s="15"/>
      <c r="K613" s="3"/>
    </row>
    <row r="614" spans="2:11" ht="12.5">
      <c r="B614" s="3"/>
      <c r="C614" s="15"/>
      <c r="K614" s="3"/>
    </row>
    <row r="615" spans="2:11" ht="12.5">
      <c r="B615" s="3"/>
      <c r="C615" s="15"/>
      <c r="K615" s="3"/>
    </row>
    <row r="616" spans="2:11" ht="12.5">
      <c r="B616" s="3"/>
      <c r="C616" s="15"/>
      <c r="K616" s="3"/>
    </row>
    <row r="617" spans="2:11" ht="12.5">
      <c r="B617" s="3"/>
      <c r="C617" s="15"/>
      <c r="K617" s="3"/>
    </row>
    <row r="618" spans="2:11" ht="12.5">
      <c r="B618" s="3"/>
      <c r="C618" s="15"/>
      <c r="K618" s="3"/>
    </row>
    <row r="619" spans="2:11" ht="12.5">
      <c r="B619" s="3"/>
      <c r="C619" s="15"/>
      <c r="K619" s="3"/>
    </row>
    <row r="620" spans="2:11" ht="12.5">
      <c r="B620" s="3"/>
      <c r="C620" s="15"/>
      <c r="K620" s="3"/>
    </row>
    <row r="621" spans="2:11" ht="12.5">
      <c r="B621" s="3"/>
      <c r="C621" s="15"/>
      <c r="K621" s="3"/>
    </row>
    <row r="622" spans="2:11" ht="12.5">
      <c r="B622" s="3"/>
      <c r="C622" s="15"/>
      <c r="K622" s="3"/>
    </row>
    <row r="623" spans="2:11" ht="12.5">
      <c r="B623" s="3"/>
      <c r="C623" s="15"/>
      <c r="K623" s="3"/>
    </row>
    <row r="624" spans="2:11" ht="12.5">
      <c r="B624" s="3"/>
      <c r="C624" s="15"/>
      <c r="K624" s="3"/>
    </row>
    <row r="625" spans="2:11" ht="12.5">
      <c r="B625" s="3"/>
      <c r="C625" s="15"/>
      <c r="K625" s="3"/>
    </row>
    <row r="626" spans="2:11" ht="12.5">
      <c r="B626" s="3"/>
      <c r="C626" s="15"/>
      <c r="K626" s="3"/>
    </row>
    <row r="627" spans="2:11" ht="12.5">
      <c r="B627" s="3"/>
      <c r="C627" s="15"/>
      <c r="K627" s="3"/>
    </row>
    <row r="628" spans="2:11" ht="12.5">
      <c r="B628" s="3"/>
      <c r="C628" s="15"/>
      <c r="K628" s="3"/>
    </row>
    <row r="629" spans="2:11" ht="12.5">
      <c r="B629" s="3"/>
      <c r="C629" s="15"/>
      <c r="K629" s="3"/>
    </row>
    <row r="630" spans="2:11" ht="12.5">
      <c r="B630" s="3"/>
      <c r="C630" s="15"/>
      <c r="K630" s="3"/>
    </row>
    <row r="631" spans="2:11" ht="12.5">
      <c r="B631" s="3"/>
      <c r="C631" s="15"/>
      <c r="K631" s="3"/>
    </row>
    <row r="632" spans="2:11" ht="12.5">
      <c r="B632" s="3"/>
      <c r="C632" s="15"/>
      <c r="K632" s="3"/>
    </row>
    <row r="633" spans="2:11" ht="12.5">
      <c r="B633" s="3"/>
      <c r="C633" s="15"/>
      <c r="K633" s="3"/>
    </row>
    <row r="634" spans="2:11" ht="12.5">
      <c r="B634" s="3"/>
      <c r="C634" s="15"/>
      <c r="K634" s="3"/>
    </row>
    <row r="635" spans="2:11" ht="12.5">
      <c r="B635" s="3"/>
      <c r="C635" s="15"/>
      <c r="K635" s="3"/>
    </row>
    <row r="636" spans="2:11" ht="12.5">
      <c r="B636" s="3"/>
      <c r="C636" s="15"/>
      <c r="K636" s="3"/>
    </row>
    <row r="637" spans="2:11" ht="12.5">
      <c r="B637" s="3"/>
      <c r="C637" s="15"/>
      <c r="K637" s="3"/>
    </row>
    <row r="638" spans="2:11" ht="12.5">
      <c r="B638" s="3"/>
      <c r="C638" s="15"/>
      <c r="K638" s="3"/>
    </row>
    <row r="639" spans="2:11" ht="12.5">
      <c r="B639" s="3"/>
      <c r="C639" s="15"/>
      <c r="K639" s="3"/>
    </row>
    <row r="640" spans="2:11" ht="12.5">
      <c r="B640" s="3"/>
      <c r="C640" s="15"/>
      <c r="K640" s="3"/>
    </row>
    <row r="641" spans="2:11" ht="12.5">
      <c r="B641" s="3"/>
      <c r="C641" s="15"/>
      <c r="K641" s="3"/>
    </row>
    <row r="642" spans="2:11" ht="12.5">
      <c r="B642" s="3"/>
      <c r="C642" s="15"/>
      <c r="K642" s="3"/>
    </row>
    <row r="643" spans="2:11" ht="12.5">
      <c r="B643" s="3"/>
      <c r="C643" s="15"/>
      <c r="K643" s="3"/>
    </row>
    <row r="644" spans="2:11" ht="12.5">
      <c r="B644" s="3"/>
      <c r="C644" s="15"/>
      <c r="K644" s="3"/>
    </row>
    <row r="645" spans="2:11" ht="12.5">
      <c r="B645" s="3"/>
      <c r="C645" s="15"/>
      <c r="K645" s="3"/>
    </row>
    <row r="646" spans="2:11" ht="12.5">
      <c r="B646" s="3"/>
      <c r="C646" s="15"/>
      <c r="K646" s="3"/>
    </row>
    <row r="647" spans="2:11" ht="12.5">
      <c r="B647" s="3"/>
      <c r="C647" s="15"/>
      <c r="K647" s="3"/>
    </row>
    <row r="648" spans="2:11" ht="12.5">
      <c r="B648" s="3"/>
      <c r="C648" s="15"/>
      <c r="K648" s="3"/>
    </row>
    <row r="649" spans="2:11" ht="12.5">
      <c r="B649" s="3"/>
      <c r="C649" s="15"/>
      <c r="K649" s="3"/>
    </row>
    <row r="650" spans="2:11" ht="12.5">
      <c r="B650" s="3"/>
      <c r="C650" s="15"/>
      <c r="K650" s="3"/>
    </row>
    <row r="651" spans="2:11" ht="12.5">
      <c r="B651" s="3"/>
      <c r="C651" s="15"/>
      <c r="K651" s="3"/>
    </row>
    <row r="652" spans="2:11" ht="12.5">
      <c r="B652" s="3"/>
      <c r="C652" s="15"/>
      <c r="K652" s="3"/>
    </row>
    <row r="653" spans="2:11" ht="12.5">
      <c r="B653" s="3"/>
      <c r="C653" s="15"/>
      <c r="K653" s="3"/>
    </row>
    <row r="654" spans="2:11" ht="12.5">
      <c r="B654" s="3"/>
      <c r="C654" s="15"/>
      <c r="K654" s="3"/>
    </row>
    <row r="655" spans="2:11" ht="12.5">
      <c r="B655" s="3"/>
      <c r="C655" s="15"/>
      <c r="K655" s="3"/>
    </row>
    <row r="656" spans="2:11" ht="12.5">
      <c r="B656" s="3"/>
      <c r="C656" s="15"/>
      <c r="K656" s="3"/>
    </row>
    <row r="657" spans="2:11" ht="12.5">
      <c r="B657" s="3"/>
      <c r="C657" s="15"/>
      <c r="K657" s="3"/>
    </row>
    <row r="658" spans="2:11" ht="12.5">
      <c r="B658" s="3"/>
      <c r="C658" s="15"/>
      <c r="K658" s="3"/>
    </row>
    <row r="659" spans="2:11" ht="12.5">
      <c r="B659" s="3"/>
      <c r="C659" s="15"/>
      <c r="K659" s="3"/>
    </row>
    <row r="660" spans="2:11" ht="12.5">
      <c r="B660" s="3"/>
      <c r="C660" s="15"/>
      <c r="K660" s="3"/>
    </row>
    <row r="661" spans="2:11" ht="12.5">
      <c r="B661" s="3"/>
      <c r="C661" s="15"/>
      <c r="K661" s="3"/>
    </row>
    <row r="662" spans="2:11" ht="12.5">
      <c r="B662" s="3"/>
      <c r="C662" s="15"/>
      <c r="K662" s="3"/>
    </row>
    <row r="663" spans="2:11" ht="12.5">
      <c r="B663" s="3"/>
      <c r="C663" s="15"/>
      <c r="K663" s="3"/>
    </row>
    <row r="664" spans="2:11" ht="12.5">
      <c r="B664" s="3"/>
      <c r="C664" s="15"/>
      <c r="K664" s="3"/>
    </row>
    <row r="665" spans="2:11" ht="12.5">
      <c r="B665" s="3"/>
      <c r="C665" s="15"/>
      <c r="K665" s="3"/>
    </row>
    <row r="666" spans="2:11" ht="12.5">
      <c r="B666" s="3"/>
      <c r="C666" s="15"/>
      <c r="K666" s="3"/>
    </row>
    <row r="667" spans="2:11" ht="12.5">
      <c r="B667" s="3"/>
      <c r="C667" s="15"/>
      <c r="K667" s="3"/>
    </row>
    <row r="668" spans="2:11" ht="12.5">
      <c r="B668" s="3"/>
      <c r="C668" s="15"/>
      <c r="K668" s="3"/>
    </row>
    <row r="669" spans="2:11" ht="12.5">
      <c r="B669" s="3"/>
      <c r="C669" s="15"/>
      <c r="K669" s="3"/>
    </row>
    <row r="670" spans="2:11" ht="12.5">
      <c r="B670" s="3"/>
      <c r="C670" s="15"/>
      <c r="K670" s="3"/>
    </row>
    <row r="671" spans="2:11" ht="12.5">
      <c r="B671" s="3"/>
      <c r="C671" s="15"/>
      <c r="K671" s="3"/>
    </row>
    <row r="672" spans="2:11" ht="12.5">
      <c r="B672" s="3"/>
      <c r="C672" s="15"/>
      <c r="K672" s="3"/>
    </row>
    <row r="673" spans="2:11" ht="12.5">
      <c r="B673" s="3"/>
      <c r="C673" s="15"/>
      <c r="K673" s="3"/>
    </row>
    <row r="674" spans="2:11" ht="12.5">
      <c r="B674" s="3"/>
      <c r="C674" s="15"/>
      <c r="K674" s="3"/>
    </row>
    <row r="675" spans="2:11" ht="12.5">
      <c r="B675" s="3"/>
      <c r="C675" s="15"/>
      <c r="K675" s="3"/>
    </row>
    <row r="676" spans="2:11" ht="12.5">
      <c r="B676" s="3"/>
      <c r="C676" s="15"/>
      <c r="K676" s="3"/>
    </row>
    <row r="677" spans="2:11" ht="12.5">
      <c r="B677" s="3"/>
      <c r="C677" s="15"/>
      <c r="K677" s="3"/>
    </row>
    <row r="678" spans="2:11" ht="12.5">
      <c r="B678" s="3"/>
      <c r="C678" s="15"/>
      <c r="K678" s="3"/>
    </row>
    <row r="679" spans="2:11" ht="12.5">
      <c r="B679" s="3"/>
      <c r="C679" s="15"/>
      <c r="K679" s="3"/>
    </row>
    <row r="680" spans="2:11" ht="12.5">
      <c r="B680" s="3"/>
      <c r="C680" s="15"/>
      <c r="K680" s="3"/>
    </row>
    <row r="681" spans="2:11" ht="12.5">
      <c r="B681" s="3"/>
      <c r="C681" s="15"/>
      <c r="K681" s="3"/>
    </row>
    <row r="682" spans="2:11" ht="12.5">
      <c r="B682" s="3"/>
      <c r="C682" s="15"/>
      <c r="K682" s="3"/>
    </row>
    <row r="683" spans="2:11" ht="12.5">
      <c r="B683" s="3"/>
      <c r="C683" s="15"/>
      <c r="K683" s="3"/>
    </row>
    <row r="684" spans="2:11" ht="12.5">
      <c r="B684" s="3"/>
      <c r="C684" s="15"/>
      <c r="K684" s="3"/>
    </row>
    <row r="685" spans="2:11" ht="12.5">
      <c r="B685" s="3"/>
      <c r="C685" s="15"/>
      <c r="K685" s="3"/>
    </row>
    <row r="686" spans="2:11" ht="12.5">
      <c r="B686" s="3"/>
      <c r="C686" s="15"/>
      <c r="K686" s="3"/>
    </row>
    <row r="687" spans="2:11" ht="12.5">
      <c r="B687" s="3"/>
      <c r="C687" s="15"/>
      <c r="K687" s="3"/>
    </row>
    <row r="688" spans="2:11" ht="12.5">
      <c r="B688" s="3"/>
      <c r="C688" s="15"/>
      <c r="K688" s="3"/>
    </row>
    <row r="689" spans="2:11" ht="12.5">
      <c r="B689" s="3"/>
      <c r="C689" s="15"/>
      <c r="K689" s="3"/>
    </row>
    <row r="690" spans="2:11" ht="12.5">
      <c r="B690" s="3"/>
      <c r="C690" s="15"/>
      <c r="K690" s="3"/>
    </row>
    <row r="691" spans="2:11" ht="12.5">
      <c r="B691" s="3"/>
      <c r="C691" s="15"/>
      <c r="K691" s="3"/>
    </row>
    <row r="692" spans="2:11" ht="12.5">
      <c r="B692" s="3"/>
      <c r="C692" s="15"/>
      <c r="K692" s="3"/>
    </row>
    <row r="693" spans="2:11" ht="12.5">
      <c r="B693" s="3"/>
      <c r="C693" s="15"/>
      <c r="K693" s="3"/>
    </row>
    <row r="694" spans="2:11" ht="12.5">
      <c r="B694" s="3"/>
      <c r="C694" s="15"/>
      <c r="K694" s="3"/>
    </row>
    <row r="695" spans="2:11" ht="12.5">
      <c r="B695" s="3"/>
      <c r="C695" s="15"/>
      <c r="K695" s="3"/>
    </row>
    <row r="696" spans="2:11" ht="12.5">
      <c r="B696" s="3"/>
      <c r="C696" s="15"/>
      <c r="K696" s="3"/>
    </row>
    <row r="697" spans="2:11" ht="12.5">
      <c r="B697" s="3"/>
      <c r="C697" s="15"/>
      <c r="K697" s="3"/>
    </row>
    <row r="698" spans="2:11" ht="12.5">
      <c r="B698" s="3"/>
      <c r="C698" s="15"/>
      <c r="K698" s="3"/>
    </row>
    <row r="699" spans="2:11" ht="12.5">
      <c r="B699" s="3"/>
      <c r="C699" s="15"/>
      <c r="K699" s="3"/>
    </row>
    <row r="700" spans="2:11" ht="12.5">
      <c r="B700" s="3"/>
      <c r="C700" s="15"/>
      <c r="K700" s="3"/>
    </row>
    <row r="701" spans="2:11" ht="12.5">
      <c r="B701" s="3"/>
      <c r="C701" s="15"/>
      <c r="K701" s="3"/>
    </row>
    <row r="702" spans="2:11" ht="12.5">
      <c r="B702" s="3"/>
      <c r="C702" s="15"/>
      <c r="K702" s="3"/>
    </row>
    <row r="703" spans="2:11" ht="12.5">
      <c r="B703" s="3"/>
      <c r="C703" s="15"/>
      <c r="K703" s="3"/>
    </row>
    <row r="704" spans="2:11" ht="12.5">
      <c r="B704" s="3"/>
      <c r="C704" s="15"/>
      <c r="K704" s="3"/>
    </row>
    <row r="705" spans="2:11" ht="12.5">
      <c r="B705" s="3"/>
      <c r="C705" s="15"/>
      <c r="K705" s="3"/>
    </row>
    <row r="706" spans="2:11" ht="12.5">
      <c r="B706" s="3"/>
      <c r="C706" s="15"/>
      <c r="K706" s="3"/>
    </row>
    <row r="707" spans="2:11" ht="12.5">
      <c r="B707" s="3"/>
      <c r="C707" s="15"/>
      <c r="K707" s="3"/>
    </row>
    <row r="708" spans="2:11" ht="12.5">
      <c r="B708" s="3"/>
      <c r="C708" s="15"/>
      <c r="K708" s="3"/>
    </row>
    <row r="709" spans="2:11" ht="12.5">
      <c r="B709" s="3"/>
      <c r="C709" s="15"/>
      <c r="K709" s="3"/>
    </row>
    <row r="710" spans="2:11" ht="12.5">
      <c r="B710" s="3"/>
      <c r="C710" s="15"/>
      <c r="K710" s="3"/>
    </row>
    <row r="711" spans="2:11" ht="12.5">
      <c r="B711" s="3"/>
      <c r="C711" s="15"/>
      <c r="K711" s="3"/>
    </row>
    <row r="712" spans="2:11" ht="12.5">
      <c r="B712" s="3"/>
      <c r="C712" s="15"/>
      <c r="K712" s="3"/>
    </row>
    <row r="713" spans="2:11" ht="12.5">
      <c r="B713" s="3"/>
      <c r="C713" s="15"/>
      <c r="K713" s="3"/>
    </row>
    <row r="714" spans="2:11" ht="12.5">
      <c r="B714" s="3"/>
      <c r="C714" s="15"/>
      <c r="K714" s="3"/>
    </row>
    <row r="715" spans="2:11" ht="12.5">
      <c r="B715" s="3"/>
      <c r="C715" s="15"/>
      <c r="K715" s="3"/>
    </row>
    <row r="716" spans="2:11" ht="12.5">
      <c r="B716" s="3"/>
      <c r="C716" s="15"/>
      <c r="K716" s="3"/>
    </row>
    <row r="717" spans="2:11" ht="12.5">
      <c r="B717" s="3"/>
      <c r="C717" s="15"/>
      <c r="K717" s="3"/>
    </row>
    <row r="718" spans="2:11" ht="12.5">
      <c r="B718" s="3"/>
      <c r="C718" s="15"/>
      <c r="K718" s="3"/>
    </row>
    <row r="719" spans="2:11" ht="12.5">
      <c r="B719" s="3"/>
      <c r="C719" s="15"/>
      <c r="K719" s="3"/>
    </row>
    <row r="720" spans="2:11" ht="12.5">
      <c r="B720" s="3"/>
      <c r="C720" s="15"/>
      <c r="K720" s="3"/>
    </row>
    <row r="721" spans="2:11" ht="12.5">
      <c r="B721" s="3"/>
      <c r="C721" s="15"/>
      <c r="K721" s="3"/>
    </row>
    <row r="722" spans="2:11" ht="12.5">
      <c r="B722" s="3"/>
      <c r="C722" s="15"/>
      <c r="K722" s="3"/>
    </row>
    <row r="723" spans="2:11" ht="12.5">
      <c r="B723" s="3"/>
      <c r="C723" s="15"/>
      <c r="K723" s="3"/>
    </row>
    <row r="724" spans="2:11" ht="12.5">
      <c r="B724" s="3"/>
      <c r="C724" s="15"/>
      <c r="K724" s="3"/>
    </row>
    <row r="725" spans="2:11" ht="12.5">
      <c r="B725" s="3"/>
      <c r="C725" s="15"/>
      <c r="K725" s="3"/>
    </row>
    <row r="726" spans="2:11" ht="12.5">
      <c r="B726" s="3"/>
      <c r="C726" s="15"/>
      <c r="K726" s="3"/>
    </row>
    <row r="727" spans="2:11" ht="12.5">
      <c r="B727" s="3"/>
      <c r="C727" s="15"/>
      <c r="K727" s="3"/>
    </row>
    <row r="728" spans="2:11" ht="12.5">
      <c r="B728" s="3"/>
      <c r="C728" s="15"/>
      <c r="K728" s="3"/>
    </row>
    <row r="729" spans="2:11" ht="12.5">
      <c r="B729" s="3"/>
      <c r="C729" s="15"/>
      <c r="K729" s="3"/>
    </row>
    <row r="730" spans="2:11" ht="12.5">
      <c r="B730" s="3"/>
      <c r="C730" s="15"/>
      <c r="K730" s="3"/>
    </row>
    <row r="731" spans="2:11" ht="12.5">
      <c r="B731" s="3"/>
      <c r="C731" s="15"/>
      <c r="K731" s="3"/>
    </row>
    <row r="732" spans="2:11" ht="12.5">
      <c r="B732" s="3"/>
      <c r="C732" s="15"/>
      <c r="K732" s="3"/>
    </row>
    <row r="733" spans="2:11" ht="12.5">
      <c r="B733" s="3"/>
      <c r="C733" s="15"/>
      <c r="K733" s="3"/>
    </row>
    <row r="734" spans="2:11" ht="12.5">
      <c r="B734" s="3"/>
      <c r="C734" s="15"/>
      <c r="K734" s="3"/>
    </row>
    <row r="735" spans="2:11" ht="12.5">
      <c r="B735" s="3"/>
      <c r="C735" s="15"/>
      <c r="K735" s="3"/>
    </row>
    <row r="736" spans="2:11" ht="12.5">
      <c r="B736" s="3"/>
      <c r="C736" s="15"/>
      <c r="K736" s="3"/>
    </row>
    <row r="737" spans="2:11" ht="12.5">
      <c r="B737" s="3"/>
      <c r="C737" s="15"/>
      <c r="K737" s="3"/>
    </row>
    <row r="738" spans="2:11" ht="12.5">
      <c r="B738" s="3"/>
      <c r="C738" s="15"/>
      <c r="K738" s="3"/>
    </row>
    <row r="739" spans="2:11" ht="12.5">
      <c r="B739" s="3"/>
      <c r="C739" s="15"/>
      <c r="K739" s="3"/>
    </row>
    <row r="740" spans="2:11" ht="12.5">
      <c r="B740" s="3"/>
      <c r="C740" s="15"/>
      <c r="K740" s="3"/>
    </row>
    <row r="741" spans="2:11" ht="12.5">
      <c r="B741" s="3"/>
      <c r="C741" s="15"/>
      <c r="K741" s="3"/>
    </row>
    <row r="742" spans="2:11" ht="12.5">
      <c r="B742" s="3"/>
      <c r="C742" s="15"/>
      <c r="K742" s="3"/>
    </row>
    <row r="743" spans="2:11" ht="12.5">
      <c r="B743" s="3"/>
      <c r="C743" s="15"/>
      <c r="K743" s="3"/>
    </row>
    <row r="744" spans="2:11" ht="12.5">
      <c r="B744" s="3"/>
      <c r="C744" s="15"/>
      <c r="K744" s="3"/>
    </row>
    <row r="745" spans="2:11" ht="12.5">
      <c r="B745" s="3"/>
      <c r="C745" s="15"/>
      <c r="K745" s="3"/>
    </row>
    <row r="746" spans="2:11" ht="12.5">
      <c r="B746" s="3"/>
      <c r="C746" s="15"/>
      <c r="K746" s="3"/>
    </row>
    <row r="747" spans="2:11" ht="12.5">
      <c r="B747" s="3"/>
      <c r="C747" s="15"/>
      <c r="K747" s="3"/>
    </row>
    <row r="748" spans="2:11" ht="12.5">
      <c r="B748" s="3"/>
      <c r="C748" s="15"/>
      <c r="K748" s="3"/>
    </row>
    <row r="749" spans="2:11" ht="12.5">
      <c r="B749" s="3"/>
      <c r="C749" s="15"/>
      <c r="K749" s="3"/>
    </row>
    <row r="750" spans="2:11" ht="12.5">
      <c r="B750" s="3"/>
      <c r="C750" s="15"/>
      <c r="K750" s="3"/>
    </row>
    <row r="751" spans="2:11" ht="12.5">
      <c r="B751" s="3"/>
      <c r="C751" s="15"/>
      <c r="K751" s="3"/>
    </row>
    <row r="752" spans="2:11" ht="12.5">
      <c r="B752" s="3"/>
      <c r="C752" s="15"/>
      <c r="K752" s="3"/>
    </row>
    <row r="753" spans="2:11" ht="12.5">
      <c r="B753" s="3"/>
      <c r="C753" s="15"/>
      <c r="K753" s="3"/>
    </row>
    <row r="754" spans="2:11" ht="12.5">
      <c r="B754" s="3"/>
      <c r="C754" s="15"/>
      <c r="K754" s="3"/>
    </row>
    <row r="755" spans="2:11" ht="12.5">
      <c r="B755" s="3"/>
      <c r="C755" s="15"/>
      <c r="K755" s="3"/>
    </row>
    <row r="756" spans="2:11" ht="12.5">
      <c r="B756" s="3"/>
      <c r="C756" s="15"/>
      <c r="K756" s="3"/>
    </row>
    <row r="757" spans="2:11" ht="12.5">
      <c r="B757" s="3"/>
      <c r="C757" s="15"/>
      <c r="K757" s="3"/>
    </row>
    <row r="758" spans="2:11" ht="12.5">
      <c r="B758" s="3"/>
      <c r="C758" s="15"/>
      <c r="K758" s="3"/>
    </row>
    <row r="759" spans="2:11" ht="12.5">
      <c r="B759" s="3"/>
      <c r="C759" s="15"/>
      <c r="K759" s="3"/>
    </row>
    <row r="760" spans="2:11" ht="12.5">
      <c r="B760" s="3"/>
      <c r="C760" s="15"/>
      <c r="K760" s="3"/>
    </row>
    <row r="761" spans="2:11" ht="12.5">
      <c r="B761" s="3"/>
      <c r="C761" s="15"/>
      <c r="K761" s="3"/>
    </row>
    <row r="762" spans="2:11" ht="12.5">
      <c r="B762" s="3"/>
      <c r="C762" s="15"/>
      <c r="K762" s="3"/>
    </row>
    <row r="763" spans="2:11" ht="12.5">
      <c r="B763" s="3"/>
      <c r="C763" s="15"/>
      <c r="K763" s="3"/>
    </row>
    <row r="764" spans="2:11" ht="12.5">
      <c r="B764" s="3"/>
      <c r="C764" s="15"/>
      <c r="K764" s="3"/>
    </row>
    <row r="765" spans="2:11" ht="12.5">
      <c r="B765" s="3"/>
      <c r="C765" s="15"/>
      <c r="K765" s="3"/>
    </row>
    <row r="766" spans="2:11" ht="12.5">
      <c r="B766" s="3"/>
      <c r="C766" s="15"/>
      <c r="K766" s="3"/>
    </row>
    <row r="767" spans="2:11" ht="12.5">
      <c r="B767" s="3"/>
      <c r="C767" s="15"/>
      <c r="K767" s="3"/>
    </row>
    <row r="768" spans="2:11" ht="12.5">
      <c r="B768" s="3"/>
      <c r="C768" s="15"/>
      <c r="K768" s="3"/>
    </row>
    <row r="769" spans="2:11" ht="12.5">
      <c r="B769" s="3"/>
      <c r="C769" s="15"/>
      <c r="K769" s="3"/>
    </row>
    <row r="770" spans="2:11" ht="12.5">
      <c r="B770" s="3"/>
      <c r="C770" s="15"/>
      <c r="K770" s="3"/>
    </row>
    <row r="771" spans="2:11" ht="12.5">
      <c r="B771" s="3"/>
      <c r="C771" s="15"/>
      <c r="K771" s="3"/>
    </row>
    <row r="772" spans="2:11" ht="12.5">
      <c r="B772" s="3"/>
      <c r="C772" s="15"/>
      <c r="K772" s="3"/>
    </row>
    <row r="773" spans="2:11" ht="12.5">
      <c r="B773" s="3"/>
      <c r="C773" s="15"/>
      <c r="K773" s="3"/>
    </row>
    <row r="774" spans="2:11" ht="12.5">
      <c r="B774" s="3"/>
      <c r="C774" s="15"/>
      <c r="K774" s="3"/>
    </row>
    <row r="775" spans="2:11" ht="12.5">
      <c r="B775" s="3"/>
      <c r="C775" s="15"/>
      <c r="K775" s="3"/>
    </row>
    <row r="776" spans="2:11" ht="12.5">
      <c r="B776" s="3"/>
      <c r="C776" s="15"/>
      <c r="K776" s="3"/>
    </row>
    <row r="777" spans="2:11" ht="12.5">
      <c r="B777" s="3"/>
      <c r="C777" s="15"/>
      <c r="K777" s="3"/>
    </row>
    <row r="778" spans="2:11" ht="12.5">
      <c r="B778" s="3"/>
      <c r="C778" s="15"/>
      <c r="K778" s="3"/>
    </row>
    <row r="779" spans="2:11" ht="12.5">
      <c r="B779" s="3"/>
      <c r="C779" s="15"/>
      <c r="K779" s="3"/>
    </row>
    <row r="780" spans="2:11" ht="12.5">
      <c r="B780" s="3"/>
      <c r="C780" s="15"/>
      <c r="K780" s="3"/>
    </row>
    <row r="781" spans="2:11" ht="12.5">
      <c r="B781" s="3"/>
      <c r="C781" s="15"/>
      <c r="K781" s="3"/>
    </row>
    <row r="782" spans="2:11" ht="12.5">
      <c r="B782" s="3"/>
      <c r="C782" s="15"/>
      <c r="K782" s="3"/>
    </row>
    <row r="783" spans="2:11" ht="12.5">
      <c r="B783" s="3"/>
      <c r="C783" s="15"/>
      <c r="K783" s="3"/>
    </row>
    <row r="784" spans="2:11" ht="12.5">
      <c r="B784" s="3"/>
      <c r="C784" s="15"/>
      <c r="K784" s="3"/>
    </row>
    <row r="785" spans="2:11" ht="12.5">
      <c r="B785" s="3"/>
      <c r="C785" s="15"/>
      <c r="K785" s="3"/>
    </row>
    <row r="786" spans="2:11" ht="12.5">
      <c r="B786" s="3"/>
      <c r="C786" s="15"/>
      <c r="K786" s="3"/>
    </row>
    <row r="787" spans="2:11" ht="12.5">
      <c r="B787" s="3"/>
      <c r="C787" s="15"/>
      <c r="K787" s="3"/>
    </row>
    <row r="788" spans="2:11" ht="12.5">
      <c r="B788" s="3"/>
      <c r="C788" s="15"/>
      <c r="K788" s="3"/>
    </row>
    <row r="789" spans="2:11" ht="12.5">
      <c r="B789" s="3"/>
      <c r="C789" s="15"/>
      <c r="K789" s="3"/>
    </row>
    <row r="790" spans="2:11" ht="12.5">
      <c r="B790" s="3"/>
      <c r="C790" s="15"/>
      <c r="K790" s="3"/>
    </row>
    <row r="791" spans="2:11" ht="12.5">
      <c r="B791" s="3"/>
      <c r="C791" s="15"/>
      <c r="K791" s="3"/>
    </row>
    <row r="792" spans="2:11" ht="12.5">
      <c r="B792" s="3"/>
      <c r="C792" s="15"/>
      <c r="K792" s="3"/>
    </row>
    <row r="793" spans="2:11" ht="12.5">
      <c r="B793" s="3"/>
      <c r="C793" s="15"/>
      <c r="K793" s="3"/>
    </row>
    <row r="794" spans="2:11" ht="12.5">
      <c r="B794" s="3"/>
      <c r="C794" s="15"/>
      <c r="K794" s="3"/>
    </row>
    <row r="795" spans="2:11" ht="12.5">
      <c r="B795" s="3"/>
      <c r="C795" s="15"/>
      <c r="K795" s="3"/>
    </row>
    <row r="796" spans="2:11" ht="12.5">
      <c r="B796" s="3"/>
      <c r="C796" s="15"/>
      <c r="K796" s="3"/>
    </row>
    <row r="797" spans="2:11" ht="12.5">
      <c r="B797" s="3"/>
      <c r="C797" s="15"/>
      <c r="K797" s="3"/>
    </row>
    <row r="798" spans="2:11" ht="12.5">
      <c r="B798" s="3"/>
      <c r="C798" s="15"/>
      <c r="K798" s="3"/>
    </row>
    <row r="799" spans="2:11" ht="12.5">
      <c r="B799" s="3"/>
      <c r="C799" s="15"/>
      <c r="K799" s="3"/>
    </row>
    <row r="800" spans="2:11" ht="12.5">
      <c r="B800" s="3"/>
      <c r="C800" s="15"/>
      <c r="K800" s="3"/>
    </row>
    <row r="801" spans="2:11" ht="12.5">
      <c r="B801" s="3"/>
      <c r="C801" s="15"/>
      <c r="K801" s="3"/>
    </row>
    <row r="802" spans="2:11" ht="12.5">
      <c r="B802" s="3"/>
      <c r="C802" s="15"/>
      <c r="K802" s="3"/>
    </row>
    <row r="803" spans="2:11" ht="12.5">
      <c r="B803" s="3"/>
      <c r="C803" s="15"/>
      <c r="K803" s="3"/>
    </row>
    <row r="804" spans="2:11" ht="12.5">
      <c r="B804" s="3"/>
      <c r="C804" s="15"/>
      <c r="K804" s="3"/>
    </row>
    <row r="805" spans="2:11" ht="12.5">
      <c r="B805" s="3"/>
      <c r="C805" s="15"/>
      <c r="K805" s="3"/>
    </row>
    <row r="806" spans="2:11" ht="12.5">
      <c r="B806" s="3"/>
      <c r="C806" s="15"/>
      <c r="K806" s="3"/>
    </row>
    <row r="807" spans="2:11" ht="12.5">
      <c r="B807" s="3"/>
      <c r="C807" s="15"/>
      <c r="K807" s="3"/>
    </row>
    <row r="808" spans="2:11" ht="12.5">
      <c r="B808" s="3"/>
      <c r="C808" s="15"/>
      <c r="K808" s="3"/>
    </row>
    <row r="809" spans="2:11" ht="12.5">
      <c r="B809" s="3"/>
      <c r="C809" s="15"/>
      <c r="K809" s="3"/>
    </row>
    <row r="810" spans="2:11" ht="12.5">
      <c r="B810" s="3"/>
      <c r="C810" s="15"/>
      <c r="K810" s="3"/>
    </row>
    <row r="811" spans="2:11" ht="12.5">
      <c r="B811" s="3"/>
      <c r="C811" s="15"/>
      <c r="K811" s="3"/>
    </row>
    <row r="812" spans="2:11" ht="12.5">
      <c r="B812" s="3"/>
      <c r="C812" s="15"/>
      <c r="K812" s="3"/>
    </row>
    <row r="813" spans="2:11" ht="12.5">
      <c r="B813" s="3"/>
      <c r="C813" s="15"/>
      <c r="K813" s="3"/>
    </row>
    <row r="814" spans="2:11" ht="12.5">
      <c r="B814" s="3"/>
      <c r="C814" s="15"/>
      <c r="K814" s="3"/>
    </row>
    <row r="815" spans="2:11" ht="12.5">
      <c r="B815" s="3"/>
      <c r="C815" s="15"/>
      <c r="K815" s="3"/>
    </row>
    <row r="816" spans="2:11" ht="12.5">
      <c r="B816" s="3"/>
      <c r="C816" s="15"/>
      <c r="K816" s="3"/>
    </row>
    <row r="817" spans="2:11" ht="12.5">
      <c r="B817" s="3"/>
      <c r="C817" s="15"/>
      <c r="K817" s="3"/>
    </row>
    <row r="818" spans="2:11" ht="12.5">
      <c r="B818" s="3"/>
      <c r="C818" s="15"/>
      <c r="K818" s="3"/>
    </row>
    <row r="819" spans="2:11" ht="12.5">
      <c r="B819" s="3"/>
      <c r="C819" s="15"/>
      <c r="K819" s="3"/>
    </row>
    <row r="820" spans="2:11" ht="12.5">
      <c r="B820" s="3"/>
      <c r="C820" s="15"/>
      <c r="K820" s="3"/>
    </row>
    <row r="821" spans="2:11" ht="12.5">
      <c r="B821" s="3"/>
      <c r="C821" s="15"/>
      <c r="K821" s="3"/>
    </row>
    <row r="822" spans="2:11" ht="12.5">
      <c r="B822" s="3"/>
      <c r="C822" s="15"/>
      <c r="K822" s="3"/>
    </row>
    <row r="823" spans="2:11" ht="12.5">
      <c r="B823" s="3"/>
      <c r="C823" s="15"/>
      <c r="K823" s="3"/>
    </row>
    <row r="824" spans="2:11" ht="12.5">
      <c r="B824" s="3"/>
      <c r="C824" s="15"/>
      <c r="K824" s="3"/>
    </row>
    <row r="825" spans="2:11" ht="12.5">
      <c r="B825" s="3"/>
      <c r="C825" s="15"/>
      <c r="K825" s="3"/>
    </row>
    <row r="826" spans="2:11" ht="12.5">
      <c r="B826" s="3"/>
      <c r="C826" s="15"/>
      <c r="K826" s="3"/>
    </row>
    <row r="827" spans="2:11" ht="12.5">
      <c r="B827" s="3"/>
      <c r="C827" s="15"/>
      <c r="K827" s="3"/>
    </row>
    <row r="828" spans="2:11" ht="12.5">
      <c r="B828" s="3"/>
      <c r="C828" s="15"/>
      <c r="K828" s="3"/>
    </row>
    <row r="829" spans="2:11" ht="12.5">
      <c r="B829" s="3"/>
      <c r="C829" s="15"/>
      <c r="K829" s="3"/>
    </row>
    <row r="830" spans="2:11" ht="12.5">
      <c r="B830" s="3"/>
      <c r="C830" s="15"/>
      <c r="K830" s="3"/>
    </row>
    <row r="831" spans="2:11" ht="12.5">
      <c r="B831" s="3"/>
      <c r="C831" s="15"/>
      <c r="K831" s="3"/>
    </row>
    <row r="832" spans="2:11" ht="12.5">
      <c r="B832" s="3"/>
      <c r="C832" s="15"/>
      <c r="K832" s="3"/>
    </row>
    <row r="833" spans="2:11" ht="12.5">
      <c r="B833" s="3"/>
      <c r="C833" s="15"/>
      <c r="K833" s="3"/>
    </row>
    <row r="834" spans="2:11" ht="12.5">
      <c r="B834" s="3"/>
      <c r="C834" s="15"/>
      <c r="K834" s="3"/>
    </row>
    <row r="835" spans="2:11" ht="12.5">
      <c r="B835" s="3"/>
      <c r="C835" s="15"/>
      <c r="K835" s="3"/>
    </row>
    <row r="836" spans="2:11" ht="12.5">
      <c r="B836" s="3"/>
      <c r="C836" s="15"/>
      <c r="K836" s="3"/>
    </row>
    <row r="837" spans="2:11" ht="12.5">
      <c r="B837" s="3"/>
      <c r="C837" s="15"/>
      <c r="K837" s="3"/>
    </row>
    <row r="838" spans="2:11" ht="12.5">
      <c r="B838" s="3"/>
      <c r="C838" s="15"/>
      <c r="K838" s="3"/>
    </row>
    <row r="839" spans="2:11" ht="12.5">
      <c r="B839" s="3"/>
      <c r="C839" s="15"/>
      <c r="K839" s="3"/>
    </row>
    <row r="840" spans="2:11" ht="12.5">
      <c r="B840" s="3"/>
      <c r="C840" s="15"/>
      <c r="K840" s="3"/>
    </row>
    <row r="841" spans="2:11" ht="12.5">
      <c r="B841" s="3"/>
      <c r="C841" s="15"/>
      <c r="K841" s="3"/>
    </row>
    <row r="842" spans="2:11" ht="12.5">
      <c r="B842" s="3"/>
      <c r="C842" s="15"/>
      <c r="K842" s="3"/>
    </row>
    <row r="843" spans="2:11" ht="12.5">
      <c r="B843" s="3"/>
      <c r="C843" s="15"/>
      <c r="K843" s="3"/>
    </row>
    <row r="844" spans="2:11" ht="12.5">
      <c r="B844" s="3"/>
      <c r="C844" s="15"/>
      <c r="K844" s="3"/>
    </row>
    <row r="845" spans="2:11" ht="12.5">
      <c r="B845" s="3"/>
      <c r="C845" s="15"/>
      <c r="K845" s="3"/>
    </row>
    <row r="846" spans="2:11" ht="12.5">
      <c r="B846" s="3"/>
      <c r="C846" s="15"/>
      <c r="K846" s="3"/>
    </row>
    <row r="847" spans="2:11" ht="12.5">
      <c r="B847" s="3"/>
      <c r="C847" s="15"/>
      <c r="K847" s="3"/>
    </row>
    <row r="848" spans="2:11" ht="12.5">
      <c r="B848" s="3"/>
      <c r="C848" s="15"/>
      <c r="K848" s="3"/>
    </row>
    <row r="849" spans="2:11" ht="12.5">
      <c r="B849" s="3"/>
      <c r="C849" s="15"/>
      <c r="K849" s="3"/>
    </row>
    <row r="850" spans="2:11" ht="12.5">
      <c r="B850" s="3"/>
      <c r="C850" s="15"/>
      <c r="K850" s="3"/>
    </row>
    <row r="851" spans="2:11" ht="12.5">
      <c r="B851" s="3"/>
      <c r="C851" s="15"/>
      <c r="K851" s="3"/>
    </row>
    <row r="852" spans="2:11" ht="12.5">
      <c r="B852" s="3"/>
      <c r="C852" s="15"/>
      <c r="K852" s="3"/>
    </row>
    <row r="853" spans="2:11" ht="12.5">
      <c r="B853" s="3"/>
      <c r="C853" s="15"/>
      <c r="K853" s="3"/>
    </row>
    <row r="854" spans="2:11" ht="12.5">
      <c r="B854" s="3"/>
      <c r="C854" s="15"/>
      <c r="K854" s="3"/>
    </row>
    <row r="855" spans="2:11" ht="12.5">
      <c r="B855" s="3"/>
      <c r="C855" s="15"/>
      <c r="K855" s="3"/>
    </row>
    <row r="856" spans="2:11" ht="12.5">
      <c r="B856" s="3"/>
      <c r="C856" s="15"/>
      <c r="K856" s="3"/>
    </row>
    <row r="857" spans="2:11" ht="12.5">
      <c r="B857" s="3"/>
      <c r="C857" s="15"/>
      <c r="K857" s="3"/>
    </row>
    <row r="858" spans="2:11" ht="12.5">
      <c r="B858" s="3"/>
      <c r="C858" s="15"/>
      <c r="K858" s="3"/>
    </row>
    <row r="859" spans="2:11" ht="12.5">
      <c r="B859" s="3"/>
      <c r="C859" s="15"/>
      <c r="K859" s="3"/>
    </row>
    <row r="860" spans="2:11" ht="12.5">
      <c r="B860" s="3"/>
      <c r="C860" s="15"/>
      <c r="K860" s="3"/>
    </row>
    <row r="861" spans="2:11" ht="12.5">
      <c r="B861" s="3"/>
      <c r="C861" s="15"/>
      <c r="K861" s="3"/>
    </row>
    <row r="862" spans="2:11" ht="12.5">
      <c r="B862" s="3"/>
      <c r="C862" s="15"/>
      <c r="K862" s="3"/>
    </row>
    <row r="863" spans="2:11" ht="12.5">
      <c r="B863" s="3"/>
      <c r="C863" s="15"/>
      <c r="K863" s="3"/>
    </row>
    <row r="864" spans="2:11" ht="12.5">
      <c r="B864" s="3"/>
      <c r="C864" s="15"/>
      <c r="K864" s="3"/>
    </row>
    <row r="865" spans="2:11" ht="12.5">
      <c r="B865" s="3"/>
      <c r="C865" s="15"/>
      <c r="K865" s="3"/>
    </row>
    <row r="866" spans="2:11" ht="12.5">
      <c r="B866" s="3"/>
      <c r="C866" s="15"/>
      <c r="K866" s="3"/>
    </row>
    <row r="867" spans="2:11" ht="12.5">
      <c r="B867" s="3"/>
      <c r="C867" s="15"/>
      <c r="K867" s="3"/>
    </row>
    <row r="868" spans="2:11" ht="12.5">
      <c r="B868" s="3"/>
      <c r="C868" s="15"/>
      <c r="K868" s="3"/>
    </row>
    <row r="869" spans="2:11" ht="12.5">
      <c r="B869" s="3"/>
      <c r="C869" s="15"/>
      <c r="K869" s="3"/>
    </row>
    <row r="870" spans="2:11" ht="12.5">
      <c r="B870" s="3"/>
      <c r="C870" s="15"/>
      <c r="K870" s="3"/>
    </row>
    <row r="871" spans="2:11" ht="12.5">
      <c r="B871" s="3"/>
      <c r="C871" s="15"/>
      <c r="K871" s="3"/>
    </row>
    <row r="872" spans="2:11" ht="12.5">
      <c r="B872" s="3"/>
      <c r="C872" s="15"/>
      <c r="K872" s="3"/>
    </row>
    <row r="873" spans="2:11" ht="12.5">
      <c r="B873" s="3"/>
      <c r="C873" s="15"/>
      <c r="K873" s="3"/>
    </row>
    <row r="874" spans="2:11" ht="12.5">
      <c r="B874" s="3"/>
      <c r="C874" s="15"/>
      <c r="K874" s="3"/>
    </row>
    <row r="875" spans="2:11" ht="12.5">
      <c r="B875" s="3"/>
      <c r="C875" s="15"/>
      <c r="K875" s="3"/>
    </row>
    <row r="876" spans="2:11" ht="12.5">
      <c r="B876" s="3"/>
      <c r="C876" s="15"/>
      <c r="K876" s="3"/>
    </row>
    <row r="877" spans="2:11" ht="12.5">
      <c r="B877" s="3"/>
      <c r="C877" s="15"/>
      <c r="K877" s="3"/>
    </row>
    <row r="878" spans="2:11" ht="12.5">
      <c r="B878" s="3"/>
      <c r="C878" s="15"/>
      <c r="K878" s="3"/>
    </row>
    <row r="879" spans="2:11" ht="12.5">
      <c r="B879" s="3"/>
      <c r="C879" s="15"/>
      <c r="K879" s="3"/>
    </row>
    <row r="880" spans="2:11" ht="12.5">
      <c r="B880" s="3"/>
      <c r="C880" s="15"/>
      <c r="K880" s="3"/>
    </row>
    <row r="881" spans="2:11" ht="12.5">
      <c r="B881" s="3"/>
      <c r="C881" s="15"/>
      <c r="K881" s="3"/>
    </row>
    <row r="882" spans="2:11" ht="12.5">
      <c r="B882" s="3"/>
      <c r="C882" s="15"/>
      <c r="K882" s="3"/>
    </row>
    <row r="883" spans="2:11" ht="12.5">
      <c r="B883" s="3"/>
      <c r="C883" s="15"/>
      <c r="K883" s="3"/>
    </row>
    <row r="884" spans="2:11" ht="12.5">
      <c r="B884" s="3"/>
      <c r="C884" s="15"/>
      <c r="K884" s="3"/>
    </row>
    <row r="885" spans="2:11" ht="12.5">
      <c r="B885" s="3"/>
      <c r="C885" s="15"/>
      <c r="K885" s="3"/>
    </row>
    <row r="886" spans="2:11" ht="12.5">
      <c r="B886" s="3"/>
      <c r="C886" s="15"/>
      <c r="K886" s="3"/>
    </row>
    <row r="887" spans="2:11" ht="12.5">
      <c r="B887" s="3"/>
      <c r="C887" s="15"/>
      <c r="K887" s="3"/>
    </row>
    <row r="888" spans="2:11" ht="12.5">
      <c r="B888" s="3"/>
      <c r="C888" s="15"/>
      <c r="K888" s="3"/>
    </row>
    <row r="889" spans="2:11" ht="12.5">
      <c r="B889" s="3"/>
      <c r="C889" s="15"/>
      <c r="K889" s="3"/>
    </row>
    <row r="890" spans="2:11" ht="12.5">
      <c r="B890" s="3"/>
      <c r="C890" s="15"/>
      <c r="K890" s="3"/>
    </row>
    <row r="891" spans="2:11" ht="12.5">
      <c r="B891" s="3"/>
      <c r="C891" s="15"/>
      <c r="K891" s="3"/>
    </row>
    <row r="892" spans="2:11" ht="12.5">
      <c r="B892" s="3"/>
      <c r="C892" s="15"/>
      <c r="K892" s="3"/>
    </row>
    <row r="893" spans="2:11" ht="12.5">
      <c r="B893" s="3"/>
      <c r="C893" s="15"/>
      <c r="K893" s="3"/>
    </row>
    <row r="894" spans="2:11" ht="12.5">
      <c r="B894" s="3"/>
      <c r="C894" s="15"/>
      <c r="K894" s="3"/>
    </row>
    <row r="895" spans="2:11" ht="12.5">
      <c r="B895" s="3"/>
      <c r="C895" s="15"/>
      <c r="K895" s="3"/>
    </row>
    <row r="896" spans="2:11" ht="12.5">
      <c r="B896" s="3"/>
      <c r="C896" s="15"/>
      <c r="K896" s="3"/>
    </row>
    <row r="897" spans="2:11" ht="12.5">
      <c r="B897" s="3"/>
      <c r="C897" s="15"/>
      <c r="K897" s="3"/>
    </row>
    <row r="898" spans="2:11" ht="12.5">
      <c r="B898" s="3"/>
      <c r="C898" s="15"/>
      <c r="K898" s="3"/>
    </row>
    <row r="899" spans="2:11" ht="12.5">
      <c r="B899" s="3"/>
      <c r="C899" s="15"/>
      <c r="K899" s="3"/>
    </row>
    <row r="900" spans="2:11" ht="12.5">
      <c r="B900" s="3"/>
      <c r="C900" s="15"/>
      <c r="K900" s="3"/>
    </row>
    <row r="901" spans="2:11" ht="12.5">
      <c r="B901" s="3"/>
      <c r="C901" s="15"/>
      <c r="K901" s="3"/>
    </row>
    <row r="902" spans="2:11" ht="12.5">
      <c r="B902" s="3"/>
      <c r="C902" s="15"/>
      <c r="K902" s="3"/>
    </row>
    <row r="903" spans="2:11" ht="12.5">
      <c r="B903" s="3"/>
      <c r="C903" s="15"/>
      <c r="K903" s="3"/>
    </row>
    <row r="904" spans="2:11" ht="12.5">
      <c r="B904" s="3"/>
      <c r="C904" s="15"/>
      <c r="K904" s="3"/>
    </row>
    <row r="905" spans="2:11" ht="12.5">
      <c r="B905" s="3"/>
      <c r="C905" s="15"/>
      <c r="K905" s="3"/>
    </row>
    <row r="906" spans="2:11" ht="12.5">
      <c r="B906" s="3"/>
      <c r="C906" s="15"/>
      <c r="K906" s="3"/>
    </row>
    <row r="907" spans="2:11" ht="12.5">
      <c r="B907" s="3"/>
      <c r="C907" s="15"/>
      <c r="K907" s="3"/>
    </row>
    <row r="908" spans="2:11" ht="12.5">
      <c r="B908" s="3"/>
      <c r="C908" s="15"/>
      <c r="K908" s="3"/>
    </row>
    <row r="909" spans="2:11" ht="12.5">
      <c r="B909" s="3"/>
      <c r="C909" s="15"/>
      <c r="K909" s="3"/>
    </row>
    <row r="910" spans="2:11" ht="12.5">
      <c r="B910" s="3"/>
      <c r="C910" s="15"/>
      <c r="K910" s="3"/>
    </row>
    <row r="911" spans="2:11" ht="12.5">
      <c r="B911" s="3"/>
      <c r="C911" s="15"/>
      <c r="K911" s="3"/>
    </row>
    <row r="912" spans="2:11" ht="12.5">
      <c r="B912" s="3"/>
      <c r="C912" s="15"/>
      <c r="K912" s="3"/>
    </row>
    <row r="913" spans="2:11" ht="12.5">
      <c r="B913" s="3"/>
      <c r="C913" s="15"/>
      <c r="K913" s="3"/>
    </row>
    <row r="914" spans="2:11" ht="12.5">
      <c r="B914" s="3"/>
      <c r="C914" s="15"/>
      <c r="K914" s="3"/>
    </row>
    <row r="915" spans="2:11" ht="12.5">
      <c r="B915" s="3"/>
      <c r="C915" s="15"/>
      <c r="K915" s="3"/>
    </row>
    <row r="916" spans="2:11" ht="12.5">
      <c r="B916" s="3"/>
      <c r="C916" s="15"/>
      <c r="K916" s="3"/>
    </row>
    <row r="917" spans="2:11" ht="12.5">
      <c r="B917" s="3"/>
      <c r="C917" s="15"/>
      <c r="K917" s="3"/>
    </row>
    <row r="918" spans="2:11" ht="12.5">
      <c r="B918" s="3"/>
      <c r="C918" s="15"/>
      <c r="K918" s="3"/>
    </row>
    <row r="919" spans="2:11" ht="12.5">
      <c r="B919" s="3"/>
      <c r="C919" s="15"/>
      <c r="K919" s="3"/>
    </row>
    <row r="920" spans="2:11" ht="12.5">
      <c r="B920" s="3"/>
      <c r="C920" s="15"/>
      <c r="K920" s="3"/>
    </row>
    <row r="921" spans="2:11" ht="12.5">
      <c r="B921" s="3"/>
      <c r="C921" s="15"/>
      <c r="K921" s="3"/>
    </row>
    <row r="922" spans="2:11" ht="12.5">
      <c r="B922" s="3"/>
      <c r="C922" s="15"/>
      <c r="K922" s="3"/>
    </row>
    <row r="923" spans="2:11" ht="12.5">
      <c r="B923" s="3"/>
      <c r="C923" s="15"/>
      <c r="K923" s="3"/>
    </row>
    <row r="924" spans="2:11" ht="12.5">
      <c r="B924" s="3"/>
      <c r="C924" s="15"/>
      <c r="K924" s="3"/>
    </row>
    <row r="925" spans="2:11" ht="12.5">
      <c r="B925" s="3"/>
      <c r="C925" s="15"/>
      <c r="K925" s="3"/>
    </row>
    <row r="926" spans="2:11" ht="12.5">
      <c r="B926" s="3"/>
      <c r="C926" s="15"/>
      <c r="K926" s="3"/>
    </row>
    <row r="927" spans="2:11" ht="12.5">
      <c r="B927" s="3"/>
      <c r="C927" s="15"/>
      <c r="K927" s="3"/>
    </row>
    <row r="928" spans="2:11" ht="12.5">
      <c r="B928" s="3"/>
      <c r="C928" s="15"/>
      <c r="K928" s="3"/>
    </row>
    <row r="929" spans="2:11" ht="12.5">
      <c r="B929" s="3"/>
      <c r="C929" s="15"/>
      <c r="K929" s="3"/>
    </row>
    <row r="930" spans="2:11" ht="12.5">
      <c r="B930" s="3"/>
      <c r="C930" s="15"/>
      <c r="K930" s="3"/>
    </row>
    <row r="931" spans="2:11" ht="12.5">
      <c r="B931" s="3"/>
      <c r="C931" s="15"/>
      <c r="K931" s="3"/>
    </row>
    <row r="932" spans="2:11" ht="12.5">
      <c r="B932" s="3"/>
      <c r="C932" s="15"/>
      <c r="K932" s="3"/>
    </row>
    <row r="933" spans="2:11" ht="12.5">
      <c r="B933" s="3"/>
      <c r="C933" s="15"/>
      <c r="K933" s="3"/>
    </row>
    <row r="934" spans="2:11" ht="12.5">
      <c r="B934" s="3"/>
      <c r="C934" s="15"/>
      <c r="K934" s="3"/>
    </row>
    <row r="935" spans="2:11" ht="12.5">
      <c r="B935" s="3"/>
      <c r="C935" s="15"/>
      <c r="K935" s="3"/>
    </row>
    <row r="936" spans="2:11" ht="12.5">
      <c r="B936" s="3"/>
      <c r="C936" s="15"/>
      <c r="K936" s="3"/>
    </row>
    <row r="937" spans="2:11" ht="12.5">
      <c r="B937" s="3"/>
      <c r="C937" s="15"/>
      <c r="K937" s="3"/>
    </row>
    <row r="938" spans="2:11" ht="12.5">
      <c r="B938" s="3"/>
      <c r="C938" s="15"/>
      <c r="K938" s="3"/>
    </row>
    <row r="939" spans="2:11" ht="12.5">
      <c r="B939" s="3"/>
      <c r="C939" s="15"/>
      <c r="K939" s="3"/>
    </row>
    <row r="940" spans="2:11" ht="12.5">
      <c r="B940" s="3"/>
      <c r="C940" s="15"/>
      <c r="K940" s="3"/>
    </row>
    <row r="941" spans="2:11" ht="12.5">
      <c r="B941" s="3"/>
      <c r="C941" s="15"/>
      <c r="K941" s="3"/>
    </row>
    <row r="942" spans="2:11" ht="12.5">
      <c r="B942" s="3"/>
      <c r="C942" s="15"/>
      <c r="K942" s="3"/>
    </row>
    <row r="943" spans="2:11" ht="12.5">
      <c r="B943" s="3"/>
      <c r="C943" s="15"/>
      <c r="K943" s="3"/>
    </row>
    <row r="944" spans="2:11" ht="12.5">
      <c r="B944" s="3"/>
      <c r="C944" s="15"/>
      <c r="K944" s="3"/>
    </row>
    <row r="945" spans="2:11" ht="12.5">
      <c r="B945" s="3"/>
      <c r="C945" s="15"/>
      <c r="K945" s="3"/>
    </row>
    <row r="946" spans="2:11" ht="12.5">
      <c r="B946" s="3"/>
      <c r="C946" s="15"/>
      <c r="K946" s="3"/>
    </row>
    <row r="947" spans="2:11" ht="12.5">
      <c r="B947" s="3"/>
      <c r="C947" s="15"/>
      <c r="K947" s="3"/>
    </row>
    <row r="948" spans="2:11" ht="12.5">
      <c r="B948" s="3"/>
      <c r="C948" s="15"/>
      <c r="K948" s="3"/>
    </row>
    <row r="949" spans="2:11" ht="12.5">
      <c r="B949" s="3"/>
      <c r="C949" s="15"/>
      <c r="K949" s="3"/>
    </row>
    <row r="950" spans="2:11" ht="12.5">
      <c r="B950" s="3"/>
      <c r="C950" s="15"/>
      <c r="K950" s="3"/>
    </row>
    <row r="951" spans="2:11" ht="12.5">
      <c r="B951" s="3"/>
      <c r="C951" s="15"/>
      <c r="K951" s="3"/>
    </row>
    <row r="952" spans="2:11" ht="12.5">
      <c r="B952" s="3"/>
      <c r="C952" s="15"/>
      <c r="K952" s="3"/>
    </row>
    <row r="953" spans="2:11" ht="12.5">
      <c r="B953" s="3"/>
      <c r="C953" s="15"/>
      <c r="K953" s="3"/>
    </row>
    <row r="954" spans="2:11" ht="12.5">
      <c r="B954" s="3"/>
      <c r="C954" s="15"/>
      <c r="K954" s="3"/>
    </row>
    <row r="955" spans="2:11" ht="12.5">
      <c r="B955" s="3"/>
      <c r="C955" s="15"/>
      <c r="K955" s="3"/>
    </row>
    <row r="956" spans="2:11" ht="12.5">
      <c r="B956" s="3"/>
      <c r="C956" s="15"/>
      <c r="K956" s="3"/>
    </row>
    <row r="957" spans="2:11" ht="12.5">
      <c r="B957" s="3"/>
      <c r="C957" s="15"/>
      <c r="K957" s="3"/>
    </row>
    <row r="958" spans="2:11" ht="12.5">
      <c r="B958" s="3"/>
      <c r="C958" s="15"/>
      <c r="K958" s="3"/>
    </row>
    <row r="959" spans="2:11" ht="12.5">
      <c r="B959" s="3"/>
      <c r="C959" s="15"/>
      <c r="K959" s="3"/>
    </row>
    <row r="960" spans="2:11" ht="12.5">
      <c r="B960" s="3"/>
      <c r="C960" s="15"/>
      <c r="K960" s="3"/>
    </row>
    <row r="961" spans="2:11" ht="12.5">
      <c r="B961" s="3"/>
      <c r="C961" s="15"/>
      <c r="K961" s="3"/>
    </row>
    <row r="962" spans="2:11" ht="12.5">
      <c r="B962" s="3"/>
      <c r="C962" s="15"/>
      <c r="K962" s="3"/>
    </row>
    <row r="963" spans="2:11" ht="12.5">
      <c r="B963" s="3"/>
      <c r="C963" s="15"/>
      <c r="K963" s="3"/>
    </row>
    <row r="964" spans="2:11" ht="12.5">
      <c r="B964" s="3"/>
      <c r="C964" s="15"/>
      <c r="K964" s="3"/>
    </row>
    <row r="965" spans="2:11" ht="12.5">
      <c r="B965" s="3"/>
      <c r="C965" s="15"/>
      <c r="K965" s="3"/>
    </row>
    <row r="966" spans="2:11" ht="12.5">
      <c r="B966" s="3"/>
      <c r="C966" s="15"/>
      <c r="K966" s="3"/>
    </row>
    <row r="967" spans="2:11" ht="12.5">
      <c r="B967" s="3"/>
      <c r="C967" s="15"/>
      <c r="K967" s="3"/>
    </row>
    <row r="968" spans="2:11" ht="12.5">
      <c r="B968" s="3"/>
      <c r="C968" s="15"/>
      <c r="K968" s="3"/>
    </row>
    <row r="969" spans="2:11" ht="12.5">
      <c r="B969" s="3"/>
      <c r="C969" s="15"/>
      <c r="K969" s="3"/>
    </row>
    <row r="970" spans="2:11" ht="12.5">
      <c r="B970" s="3"/>
      <c r="C970" s="15"/>
      <c r="K970" s="3"/>
    </row>
    <row r="971" spans="2:11" ht="12.5">
      <c r="B971" s="3"/>
      <c r="C971" s="15"/>
      <c r="K971" s="3"/>
    </row>
    <row r="972" spans="2:11" ht="12.5">
      <c r="B972" s="3"/>
      <c r="C972" s="15"/>
      <c r="K972" s="3"/>
    </row>
    <row r="973" spans="2:11" ht="12.5">
      <c r="B973" s="3"/>
      <c r="C973" s="15"/>
      <c r="K973" s="3"/>
    </row>
    <row r="974" spans="2:11" ht="12.5">
      <c r="B974" s="3"/>
      <c r="C974" s="15"/>
      <c r="K974" s="3"/>
    </row>
    <row r="975" spans="2:11" ht="12.5">
      <c r="B975" s="3"/>
      <c r="C975" s="15"/>
      <c r="K975" s="3"/>
    </row>
    <row r="976" spans="2:11" ht="12.5">
      <c r="B976" s="3"/>
      <c r="C976" s="15"/>
      <c r="K976" s="3"/>
    </row>
    <row r="977" spans="2:11" ht="12.5">
      <c r="B977" s="3"/>
      <c r="C977" s="15"/>
      <c r="K977" s="3"/>
    </row>
    <row r="978" spans="2:11" ht="12.5">
      <c r="B978" s="3"/>
      <c r="C978" s="15"/>
      <c r="K978" s="3"/>
    </row>
    <row r="979" spans="2:11" ht="12.5">
      <c r="B979" s="3"/>
      <c r="C979" s="15"/>
      <c r="K979" s="3"/>
    </row>
    <row r="980" spans="2:11" ht="12.5">
      <c r="B980" s="3"/>
      <c r="C980" s="15"/>
      <c r="K980" s="3"/>
    </row>
    <row r="981" spans="2:11" ht="12.5">
      <c r="B981" s="3"/>
      <c r="C981" s="15"/>
      <c r="K981" s="3"/>
    </row>
    <row r="982" spans="2:11" ht="12.5">
      <c r="B982" s="3"/>
      <c r="C982" s="15"/>
      <c r="K982" s="3"/>
    </row>
    <row r="983" spans="2:11" ht="12.5">
      <c r="B983" s="3"/>
      <c r="C983" s="15"/>
      <c r="K983" s="3"/>
    </row>
    <row r="984" spans="2:11" ht="12.5">
      <c r="B984" s="3"/>
      <c r="C984" s="15"/>
      <c r="K984" s="3"/>
    </row>
    <row r="985" spans="2:11" ht="12.5">
      <c r="B985" s="3"/>
      <c r="C985" s="15"/>
      <c r="K985" s="3"/>
    </row>
    <row r="986" spans="2:11" ht="12.5">
      <c r="B986" s="3"/>
      <c r="C986" s="15"/>
      <c r="K986" s="3"/>
    </row>
    <row r="987" spans="2:11" ht="12.5">
      <c r="B987" s="3"/>
      <c r="C987" s="15"/>
      <c r="K987" s="3"/>
    </row>
    <row r="988" spans="2:11" ht="12.5">
      <c r="B988" s="3"/>
      <c r="C988" s="15"/>
      <c r="K988" s="3"/>
    </row>
    <row r="989" spans="2:11" ht="12.5">
      <c r="B989" s="3"/>
      <c r="C989" s="15"/>
      <c r="K989" s="3"/>
    </row>
    <row r="990" spans="2:11" ht="12.5">
      <c r="B990" s="3"/>
      <c r="C990" s="15"/>
      <c r="K990" s="3"/>
    </row>
    <row r="991" spans="2:11" ht="12.5">
      <c r="B991" s="3"/>
      <c r="C991" s="15"/>
      <c r="K991" s="3"/>
    </row>
    <row r="992" spans="2:11" ht="12.5">
      <c r="B992" s="3"/>
      <c r="C992" s="15"/>
      <c r="K992" s="3"/>
    </row>
    <row r="993" spans="2:11" ht="12.5">
      <c r="B993" s="3"/>
      <c r="C993" s="15"/>
      <c r="K993" s="3"/>
    </row>
    <row r="994" spans="2:11" ht="12.5">
      <c r="B994" s="3"/>
      <c r="C994" s="15"/>
      <c r="K994" s="3"/>
    </row>
    <row r="995" spans="2:11" ht="12.5">
      <c r="B995" s="3"/>
      <c r="C995" s="15"/>
      <c r="K995" s="3"/>
    </row>
    <row r="996" spans="2:11" ht="12.5">
      <c r="B996" s="3"/>
      <c r="C996" s="15"/>
      <c r="K996" s="3"/>
    </row>
    <row r="997" spans="2:11" ht="12.5">
      <c r="B997" s="3"/>
      <c r="C997" s="15"/>
      <c r="K997" s="3"/>
    </row>
    <row r="998" spans="2:11" ht="12.5">
      <c r="B998" s="3"/>
      <c r="C998" s="15"/>
      <c r="K998" s="3"/>
    </row>
    <row r="999" spans="2:11" ht="12.5">
      <c r="B999" s="3"/>
      <c r="C999" s="15"/>
      <c r="K999" s="3"/>
    </row>
    <row r="1000" spans="2:11" ht="12.5">
      <c r="B1000" s="3"/>
      <c r="C1000" s="15"/>
      <c r="K1000" s="3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D38B-F61D-4FFB-B504-E0A8326B056E}">
  <dimension ref="A1:T89"/>
  <sheetViews>
    <sheetView tabSelected="1" topLeftCell="A23" workbookViewId="0">
      <selection activeCell="X47" sqref="X47"/>
    </sheetView>
  </sheetViews>
  <sheetFormatPr defaultRowHeight="12.5"/>
  <cols>
    <col min="1" max="1" width="19.81640625" customWidth="1"/>
    <col min="2" max="3" width="14.453125" customWidth="1"/>
    <col min="4" max="4" width="20" customWidth="1"/>
    <col min="12" max="12" width="12" bestFit="1" customWidth="1"/>
  </cols>
  <sheetData>
    <row r="1" spans="1:13" ht="14.5">
      <c r="A1" s="1" t="s">
        <v>12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13</v>
      </c>
      <c r="M1" t="s">
        <v>14</v>
      </c>
    </row>
    <row r="2" spans="1:13" ht="14.5">
      <c r="A2" s="5">
        <v>44927</v>
      </c>
      <c r="B2" s="6">
        <v>4.33</v>
      </c>
      <c r="C2" s="24">
        <v>13.65</v>
      </c>
      <c r="D2" s="8">
        <v>5.08</v>
      </c>
      <c r="E2" s="8">
        <v>226</v>
      </c>
      <c r="F2" s="8">
        <v>557.02</v>
      </c>
      <c r="G2" s="8">
        <v>102</v>
      </c>
      <c r="H2" s="8">
        <v>18.7</v>
      </c>
      <c r="I2" s="7">
        <v>5.71</v>
      </c>
      <c r="J2" s="9">
        <v>6.4882999999999997</v>
      </c>
      <c r="K2" s="10">
        <v>0.21</v>
      </c>
      <c r="L2" s="26">
        <v>113.3</v>
      </c>
      <c r="M2" s="22">
        <f>C2-B2</f>
        <v>9.32</v>
      </c>
    </row>
    <row r="3" spans="1:13" ht="14.5">
      <c r="A3" s="5">
        <v>44958</v>
      </c>
      <c r="B3" s="6">
        <v>4.57</v>
      </c>
      <c r="C3" s="24">
        <v>13.65</v>
      </c>
      <c r="D3" s="8">
        <v>5.17</v>
      </c>
      <c r="E3" s="8">
        <v>228</v>
      </c>
      <c r="F3" s="8">
        <v>548.53</v>
      </c>
      <c r="G3" s="8">
        <v>101</v>
      </c>
      <c r="H3" s="8">
        <v>25</v>
      </c>
      <c r="I3" s="7">
        <v>5.77</v>
      </c>
      <c r="J3" s="9">
        <v>6.5266000000000002</v>
      </c>
      <c r="K3" s="10">
        <v>-0.06</v>
      </c>
      <c r="L3" s="27">
        <v>111.7</v>
      </c>
      <c r="M3" s="22">
        <f t="shared" ref="M3:M31" si="0">C3-B3</f>
        <v>9.08</v>
      </c>
    </row>
    <row r="4" spans="1:13" ht="14.5">
      <c r="A4" s="5">
        <v>44986</v>
      </c>
      <c r="B4" s="6">
        <v>4.6500000000000004</v>
      </c>
      <c r="C4" s="24">
        <v>13.65</v>
      </c>
      <c r="D4" s="8">
        <v>5.0599999999999996</v>
      </c>
      <c r="E4" s="8">
        <v>225</v>
      </c>
      <c r="F4" s="8">
        <v>550.63</v>
      </c>
      <c r="G4" s="8">
        <v>101.7</v>
      </c>
      <c r="H4" s="8">
        <v>17</v>
      </c>
      <c r="I4" s="7">
        <v>5.55</v>
      </c>
      <c r="J4" s="9">
        <v>6.3906000000000001</v>
      </c>
      <c r="K4" s="10">
        <v>0.05</v>
      </c>
      <c r="L4" s="27">
        <v>116.7</v>
      </c>
      <c r="M4" s="22">
        <f t="shared" si="0"/>
        <v>9</v>
      </c>
    </row>
    <row r="5" spans="1:13" ht="14.5">
      <c r="A5" s="5">
        <v>45017</v>
      </c>
      <c r="B5" s="6">
        <v>4.83</v>
      </c>
      <c r="C5" s="24">
        <v>13.65</v>
      </c>
      <c r="D5" s="8">
        <v>4.9800000000000004</v>
      </c>
      <c r="E5" s="8">
        <v>220</v>
      </c>
      <c r="F5" s="8">
        <v>547.45000000000005</v>
      </c>
      <c r="G5" s="8">
        <v>102</v>
      </c>
      <c r="H5" s="8">
        <v>17</v>
      </c>
      <c r="I5" s="7">
        <v>5.28</v>
      </c>
      <c r="J5" s="9">
        <v>6.2676999999999996</v>
      </c>
      <c r="K5" s="10">
        <v>-0.95</v>
      </c>
      <c r="L5" s="28">
        <v>112.6</v>
      </c>
      <c r="M5" s="22">
        <f t="shared" si="0"/>
        <v>8.82</v>
      </c>
    </row>
    <row r="6" spans="1:13" ht="14.5">
      <c r="A6" s="5">
        <v>45047</v>
      </c>
      <c r="B6" s="6">
        <v>5.0599999999999996</v>
      </c>
      <c r="C6" s="24">
        <v>13.65</v>
      </c>
      <c r="D6" s="8">
        <v>4.9800000000000004</v>
      </c>
      <c r="E6" s="8">
        <v>206</v>
      </c>
      <c r="F6" s="8">
        <v>541.45000000000005</v>
      </c>
      <c r="G6" s="8">
        <v>104.2</v>
      </c>
      <c r="H6" s="8">
        <v>16.899999999999999</v>
      </c>
      <c r="I6" s="7">
        <v>4.6900000000000004</v>
      </c>
      <c r="J6" s="9">
        <v>5.9789000000000003</v>
      </c>
      <c r="K6" s="10">
        <v>-1.84</v>
      </c>
      <c r="L6" s="28">
        <v>111.8</v>
      </c>
      <c r="M6" s="22">
        <f t="shared" si="0"/>
        <v>8.59</v>
      </c>
    </row>
    <row r="7" spans="1:13" ht="14.5">
      <c r="A7" s="5">
        <v>45078</v>
      </c>
      <c r="B7" s="6">
        <v>5.08</v>
      </c>
      <c r="C7" s="24">
        <v>13.65</v>
      </c>
      <c r="D7" s="8">
        <v>4.83</v>
      </c>
      <c r="E7" s="8">
        <v>177</v>
      </c>
      <c r="F7" s="8">
        <v>547.83000000000004</v>
      </c>
      <c r="G7" s="8">
        <v>103</v>
      </c>
      <c r="H7" s="8">
        <v>16</v>
      </c>
      <c r="I7" s="7">
        <v>3.99</v>
      </c>
      <c r="J7" s="9">
        <v>5.5888</v>
      </c>
      <c r="K7" s="10">
        <v>-1.93</v>
      </c>
      <c r="L7" s="27">
        <v>107.6</v>
      </c>
      <c r="M7" s="22">
        <f t="shared" si="0"/>
        <v>8.57</v>
      </c>
    </row>
    <row r="8" spans="1:13" ht="14.5">
      <c r="A8" s="5">
        <v>45108</v>
      </c>
      <c r="B8" s="6">
        <v>5.12</v>
      </c>
      <c r="C8" s="24">
        <v>13.65</v>
      </c>
      <c r="D8" s="8">
        <v>4.71</v>
      </c>
      <c r="E8" s="8">
        <v>162</v>
      </c>
      <c r="F8" s="8">
        <v>563.85</v>
      </c>
      <c r="G8" s="8">
        <v>102</v>
      </c>
      <c r="H8" s="8">
        <v>14.8</v>
      </c>
      <c r="I8" s="7">
        <v>4.09</v>
      </c>
      <c r="J8" s="9">
        <v>5.4028999999999998</v>
      </c>
      <c r="K8" s="10">
        <v>-0.72</v>
      </c>
      <c r="L8" s="27">
        <v>103.5</v>
      </c>
      <c r="M8" s="22">
        <f t="shared" si="0"/>
        <v>8.5300000000000011</v>
      </c>
    </row>
    <row r="9" spans="1:13" ht="14.5">
      <c r="A9" s="5">
        <v>45139</v>
      </c>
      <c r="B9" s="6">
        <v>5.33</v>
      </c>
      <c r="C9" s="24">
        <v>13.19</v>
      </c>
      <c r="D9" s="8">
        <v>4.8899999999999997</v>
      </c>
      <c r="E9" s="8">
        <v>166</v>
      </c>
      <c r="F9" s="8">
        <v>552.84</v>
      </c>
      <c r="G9" s="8">
        <v>105</v>
      </c>
      <c r="H9" s="8">
        <v>13.8</v>
      </c>
      <c r="I9" s="7">
        <v>4.22</v>
      </c>
      <c r="J9" s="9">
        <v>5.1696999999999997</v>
      </c>
      <c r="K9" s="10">
        <v>-0.14000000000000001</v>
      </c>
      <c r="L9" s="27">
        <v>108.5</v>
      </c>
      <c r="M9" s="22">
        <f t="shared" si="0"/>
        <v>7.8599999999999994</v>
      </c>
    </row>
    <row r="10" spans="1:13" ht="14.5">
      <c r="A10" s="5">
        <v>45170</v>
      </c>
      <c r="B10" s="6">
        <v>5.33</v>
      </c>
      <c r="C10" s="24">
        <v>12.97</v>
      </c>
      <c r="D10" s="8">
        <v>5.05</v>
      </c>
      <c r="E10" s="8">
        <v>186</v>
      </c>
      <c r="F10" s="8">
        <v>548.55999999999995</v>
      </c>
      <c r="G10" s="8">
        <v>106.6</v>
      </c>
      <c r="H10" s="8">
        <v>19</v>
      </c>
      <c r="I10" s="7">
        <v>4.1100000000000003</v>
      </c>
      <c r="J10" s="9">
        <v>4.9554</v>
      </c>
      <c r="K10" s="10">
        <v>0.37</v>
      </c>
      <c r="L10" s="27">
        <v>106.8</v>
      </c>
      <c r="M10" s="22">
        <f t="shared" si="0"/>
        <v>7.6400000000000006</v>
      </c>
    </row>
    <row r="11" spans="1:13" ht="14.5">
      <c r="A11" s="5">
        <v>45200</v>
      </c>
      <c r="B11" s="6">
        <v>5.33</v>
      </c>
      <c r="C11" s="24">
        <v>12.65</v>
      </c>
      <c r="D11" s="8">
        <v>5</v>
      </c>
      <c r="E11" s="8">
        <v>183</v>
      </c>
      <c r="F11" s="8">
        <v>539.51</v>
      </c>
      <c r="G11" s="8">
        <v>105.8</v>
      </c>
      <c r="H11" s="8">
        <v>14.7</v>
      </c>
      <c r="I11" s="7">
        <v>3.92</v>
      </c>
      <c r="J11" s="9">
        <v>4.8826999999999998</v>
      </c>
      <c r="K11" s="10">
        <v>0.5</v>
      </c>
      <c r="L11" s="27">
        <v>110.9</v>
      </c>
      <c r="M11" s="22">
        <f t="shared" si="0"/>
        <v>7.32</v>
      </c>
    </row>
    <row r="12" spans="1:13" ht="14.5">
      <c r="A12" s="5">
        <v>45231</v>
      </c>
      <c r="B12" s="6">
        <v>5.33</v>
      </c>
      <c r="C12" s="24">
        <v>12.17</v>
      </c>
      <c r="D12" s="8">
        <v>4.9000000000000004</v>
      </c>
      <c r="E12" s="8">
        <v>146</v>
      </c>
      <c r="F12" s="8">
        <v>529.9</v>
      </c>
      <c r="G12" s="8">
        <v>104</v>
      </c>
      <c r="H12" s="8">
        <v>12.3</v>
      </c>
      <c r="I12" s="7">
        <v>3.92</v>
      </c>
      <c r="J12" s="9">
        <v>4.6913</v>
      </c>
      <c r="K12" s="10">
        <v>0.59</v>
      </c>
      <c r="L12" s="27">
        <v>110.4</v>
      </c>
      <c r="M12" s="22">
        <f t="shared" si="0"/>
        <v>6.84</v>
      </c>
    </row>
    <row r="13" spans="1:13" ht="14.5">
      <c r="A13" s="5">
        <v>45261</v>
      </c>
      <c r="B13" s="6">
        <v>5.33</v>
      </c>
      <c r="C13" s="24">
        <v>11.87</v>
      </c>
      <c r="D13" s="8">
        <v>4.8499999999999996</v>
      </c>
      <c r="E13" s="8">
        <v>131</v>
      </c>
      <c r="F13" s="8">
        <v>510.32</v>
      </c>
      <c r="G13" s="8">
        <v>102.4</v>
      </c>
      <c r="H13" s="8">
        <v>12.7</v>
      </c>
      <c r="I13" s="7">
        <v>3.81</v>
      </c>
      <c r="J13" s="9">
        <v>4.5576999999999996</v>
      </c>
      <c r="K13" s="10">
        <v>0.74</v>
      </c>
      <c r="L13" s="27">
        <v>107</v>
      </c>
      <c r="M13" s="22">
        <f t="shared" si="0"/>
        <v>6.5399999999999991</v>
      </c>
    </row>
    <row r="14" spans="1:13" ht="14.5">
      <c r="A14" s="5">
        <v>45292</v>
      </c>
      <c r="B14" s="6">
        <v>5.33</v>
      </c>
      <c r="C14" s="24">
        <v>11.65</v>
      </c>
      <c r="D14" s="8">
        <v>4.95</v>
      </c>
      <c r="E14" s="8">
        <v>139</v>
      </c>
      <c r="F14" s="8">
        <v>521.47</v>
      </c>
      <c r="G14" s="8">
        <v>103.5</v>
      </c>
      <c r="H14" s="8">
        <v>12.9</v>
      </c>
      <c r="I14" s="7">
        <v>3.8</v>
      </c>
      <c r="J14" s="9">
        <v>4.6013000000000002</v>
      </c>
      <c r="K14" s="10">
        <v>7.0000000000000007E-2</v>
      </c>
      <c r="L14" s="27">
        <v>109.1</v>
      </c>
      <c r="M14" s="22">
        <f t="shared" si="0"/>
        <v>6.32</v>
      </c>
    </row>
    <row r="15" spans="1:13" ht="14.5">
      <c r="A15" s="5">
        <v>45323</v>
      </c>
      <c r="B15" s="6">
        <v>5.33</v>
      </c>
      <c r="C15" s="24">
        <v>11.15</v>
      </c>
      <c r="D15" s="8">
        <v>4.97</v>
      </c>
      <c r="E15" s="8">
        <v>124</v>
      </c>
      <c r="F15" s="8">
        <v>524.42999999999995</v>
      </c>
      <c r="G15" s="8">
        <v>103.8</v>
      </c>
      <c r="H15" s="8">
        <v>13.11</v>
      </c>
      <c r="I15" s="7">
        <v>3.75</v>
      </c>
      <c r="J15" s="9">
        <v>4.4001000000000001</v>
      </c>
      <c r="K15" s="10">
        <v>-0.52</v>
      </c>
      <c r="L15" s="27">
        <v>104.5</v>
      </c>
      <c r="M15" s="22">
        <f t="shared" si="0"/>
        <v>5.82</v>
      </c>
    </row>
    <row r="16" spans="1:13" ht="14.5">
      <c r="A16" s="5">
        <v>45352</v>
      </c>
      <c r="B16" s="6">
        <v>5.33</v>
      </c>
      <c r="C16" s="24">
        <v>11</v>
      </c>
      <c r="D16" s="8">
        <v>5.05</v>
      </c>
      <c r="E16" s="8">
        <v>138</v>
      </c>
      <c r="F16" s="8">
        <v>536.35</v>
      </c>
      <c r="G16" s="8">
        <v>105.2</v>
      </c>
      <c r="H16" s="8">
        <v>13.6</v>
      </c>
      <c r="I16" s="7">
        <v>3.39</v>
      </c>
      <c r="J16" s="9">
        <v>4.5027999999999997</v>
      </c>
      <c r="K16" s="10">
        <v>-0.47</v>
      </c>
      <c r="L16" s="27">
        <v>103.8</v>
      </c>
      <c r="M16" s="22">
        <f t="shared" si="0"/>
        <v>5.67</v>
      </c>
    </row>
    <row r="17" spans="1:16" ht="14.5">
      <c r="A17" s="5">
        <v>45383</v>
      </c>
      <c r="B17" s="6">
        <v>5.33</v>
      </c>
      <c r="C17" s="24">
        <v>10.65</v>
      </c>
      <c r="D17" s="8">
        <v>5.19</v>
      </c>
      <c r="E17" s="8">
        <v>149</v>
      </c>
      <c r="F17" s="8">
        <v>546.16999999999996</v>
      </c>
      <c r="G17" s="8">
        <v>105.7</v>
      </c>
      <c r="H17" s="8">
        <v>12.5</v>
      </c>
      <c r="I17" s="7">
        <v>3.58</v>
      </c>
      <c r="J17" s="9">
        <v>4.4036</v>
      </c>
      <c r="K17" s="10">
        <v>0.31</v>
      </c>
      <c r="L17" s="27">
        <v>106.5</v>
      </c>
      <c r="M17" s="22">
        <f t="shared" si="0"/>
        <v>5.32</v>
      </c>
    </row>
    <row r="18" spans="1:16" ht="14.5">
      <c r="A18" s="5">
        <v>45413</v>
      </c>
      <c r="B18" s="6">
        <v>5.33</v>
      </c>
      <c r="C18" s="24">
        <v>10.46</v>
      </c>
      <c r="D18" s="8">
        <v>5.34</v>
      </c>
      <c r="E18" s="8">
        <v>158</v>
      </c>
      <c r="F18" s="8">
        <v>546.16999999999996</v>
      </c>
      <c r="G18" s="8">
        <v>105</v>
      </c>
      <c r="H18" s="8">
        <v>12.25</v>
      </c>
      <c r="I18" s="7">
        <v>3.71</v>
      </c>
      <c r="J18" s="9">
        <v>4.3000999999999996</v>
      </c>
      <c r="K18" s="10">
        <v>0.89</v>
      </c>
      <c r="L18" s="27">
        <v>112.9</v>
      </c>
      <c r="M18" s="22">
        <f t="shared" si="0"/>
        <v>5.1300000000000008</v>
      </c>
    </row>
    <row r="19" spans="1:16" ht="14.5">
      <c r="A19" s="5">
        <v>45444</v>
      </c>
      <c r="B19" s="6">
        <v>5.33</v>
      </c>
      <c r="C19" s="24">
        <v>10.4</v>
      </c>
      <c r="D19" s="8">
        <v>5.42</v>
      </c>
      <c r="E19" s="8">
        <v>145</v>
      </c>
      <c r="F19" s="8">
        <v>539.30999999999995</v>
      </c>
      <c r="G19" s="8">
        <v>104</v>
      </c>
      <c r="H19" s="8">
        <v>12.46</v>
      </c>
      <c r="I19" s="7">
        <v>3.7</v>
      </c>
      <c r="J19" s="9">
        <v>4.2347000000000001</v>
      </c>
      <c r="K19" s="10">
        <v>0.81</v>
      </c>
      <c r="L19" s="27">
        <v>110.6</v>
      </c>
      <c r="M19" s="22">
        <f t="shared" si="0"/>
        <v>5.07</v>
      </c>
    </row>
    <row r="20" spans="1:16" ht="14.5">
      <c r="A20" s="5">
        <v>45474</v>
      </c>
      <c r="B20" s="6">
        <v>5.33</v>
      </c>
      <c r="C20" s="24">
        <v>10.4</v>
      </c>
      <c r="D20" s="8">
        <v>5.5</v>
      </c>
      <c r="E20" s="8">
        <v>163</v>
      </c>
      <c r="F20" s="8">
        <v>535.21</v>
      </c>
      <c r="G20" s="8">
        <v>103</v>
      </c>
      <c r="H20" s="8">
        <v>20.36</v>
      </c>
      <c r="I20" s="7">
        <v>3.84</v>
      </c>
      <c r="J20" s="9">
        <v>4.1797000000000004</v>
      </c>
      <c r="K20" s="10">
        <v>0.61</v>
      </c>
      <c r="L20" s="27">
        <v>110.3</v>
      </c>
      <c r="M20" s="22">
        <f t="shared" si="0"/>
        <v>5.07</v>
      </c>
    </row>
    <row r="21" spans="1:16" ht="14.5">
      <c r="A21" s="5">
        <v>45505</v>
      </c>
      <c r="B21" s="6">
        <v>5.33</v>
      </c>
      <c r="C21" s="24">
        <v>10.4</v>
      </c>
      <c r="D21" s="8">
        <v>5.56</v>
      </c>
      <c r="E21" s="8">
        <v>152</v>
      </c>
      <c r="F21" s="8">
        <v>536.35</v>
      </c>
      <c r="G21" s="8">
        <v>101</v>
      </c>
      <c r="H21" s="8">
        <v>16</v>
      </c>
      <c r="I21" s="7">
        <v>3.79</v>
      </c>
      <c r="J21" s="9">
        <v>4.1120999999999999</v>
      </c>
      <c r="K21" s="10">
        <v>0.28999999999999998</v>
      </c>
      <c r="L21" s="27">
        <v>107.8</v>
      </c>
      <c r="M21" s="22">
        <f t="shared" si="0"/>
        <v>5.07</v>
      </c>
    </row>
    <row r="22" spans="1:16" ht="14.5">
      <c r="A22" s="5">
        <v>45536</v>
      </c>
      <c r="B22" s="6">
        <v>5.13</v>
      </c>
      <c r="C22" s="24">
        <v>10.5</v>
      </c>
      <c r="D22" s="8">
        <v>5.61</v>
      </c>
      <c r="E22" s="8">
        <v>153</v>
      </c>
      <c r="F22" s="8">
        <v>540.27</v>
      </c>
      <c r="G22" s="8">
        <v>103</v>
      </c>
      <c r="H22" s="8">
        <v>20</v>
      </c>
      <c r="I22" s="7">
        <v>4.13</v>
      </c>
      <c r="J22" s="9">
        <v>4.0126999999999997</v>
      </c>
      <c r="K22" s="10">
        <v>0.62</v>
      </c>
      <c r="L22" s="27">
        <v>107.8</v>
      </c>
      <c r="M22" s="22">
        <f t="shared" si="0"/>
        <v>5.37</v>
      </c>
    </row>
    <row r="23" spans="1:16" ht="14.5">
      <c r="A23" s="5">
        <v>45566</v>
      </c>
      <c r="B23" s="6">
        <v>4.83</v>
      </c>
      <c r="C23" s="24">
        <v>10.65</v>
      </c>
      <c r="D23" s="8">
        <v>5.7</v>
      </c>
      <c r="E23" s="8">
        <v>157</v>
      </c>
      <c r="F23" s="8">
        <v>534.44000000000005</v>
      </c>
      <c r="G23" s="8">
        <v>105</v>
      </c>
      <c r="H23" s="8">
        <v>21</v>
      </c>
      <c r="I23" s="7">
        <v>4.1900000000000004</v>
      </c>
      <c r="J23" s="9">
        <v>3.9634</v>
      </c>
      <c r="K23" s="10">
        <v>1.52</v>
      </c>
      <c r="L23" s="27">
        <v>104.8</v>
      </c>
      <c r="M23" s="22">
        <f t="shared" si="0"/>
        <v>5.82</v>
      </c>
    </row>
    <row r="24" spans="1:16" ht="14.5">
      <c r="A24" s="5">
        <v>45597</v>
      </c>
      <c r="B24" s="6">
        <v>4.6399999999999997</v>
      </c>
      <c r="C24" s="24">
        <v>11.04</v>
      </c>
      <c r="D24" s="8">
        <v>6</v>
      </c>
      <c r="E24" s="8">
        <v>161</v>
      </c>
      <c r="F24" s="8">
        <v>535.74</v>
      </c>
      <c r="G24" s="8">
        <v>105</v>
      </c>
      <c r="H24" s="8">
        <v>13</v>
      </c>
      <c r="I24" s="7">
        <v>4.45</v>
      </c>
      <c r="J24" s="9">
        <v>3.8761999999999999</v>
      </c>
      <c r="K24" s="10">
        <v>1.3</v>
      </c>
      <c r="L24" s="27">
        <v>110.4</v>
      </c>
      <c r="M24" s="22">
        <f t="shared" si="0"/>
        <v>6.3999999999999995</v>
      </c>
    </row>
    <row r="25" spans="1:16" ht="14.5">
      <c r="A25" s="5">
        <v>45627</v>
      </c>
      <c r="B25" s="6">
        <v>4.4800000000000004</v>
      </c>
      <c r="C25" s="24">
        <v>11.77</v>
      </c>
      <c r="D25" s="8">
        <v>6.17</v>
      </c>
      <c r="E25" s="8">
        <v>214</v>
      </c>
      <c r="F25" s="8">
        <v>536.5</v>
      </c>
      <c r="G25" s="8">
        <v>108</v>
      </c>
      <c r="H25" s="8">
        <v>17</v>
      </c>
      <c r="I25" s="7">
        <v>4.99</v>
      </c>
      <c r="J25" s="9">
        <v>3.7465999999999999</v>
      </c>
      <c r="K25" s="10">
        <v>0.94</v>
      </c>
      <c r="L25" s="27">
        <v>115.4</v>
      </c>
      <c r="M25" s="22">
        <f t="shared" si="0"/>
        <v>7.2899999999999991</v>
      </c>
    </row>
    <row r="26" spans="1:16" ht="14.5">
      <c r="A26" s="5">
        <v>45658</v>
      </c>
      <c r="B26" s="6">
        <v>4.33</v>
      </c>
      <c r="C26" s="24">
        <v>12.24</v>
      </c>
      <c r="D26" s="8">
        <v>5.84</v>
      </c>
      <c r="E26" s="8">
        <v>177</v>
      </c>
      <c r="F26" s="8">
        <v>541.96</v>
      </c>
      <c r="G26" s="8">
        <v>108</v>
      </c>
      <c r="H26" s="8">
        <v>16</v>
      </c>
      <c r="I26" s="7">
        <v>5.47</v>
      </c>
      <c r="J26" s="9">
        <v>3.6253000000000002</v>
      </c>
      <c r="K26" s="10">
        <v>0.27</v>
      </c>
      <c r="L26" s="27">
        <v>116.9</v>
      </c>
      <c r="M26" s="22">
        <f t="shared" si="0"/>
        <v>7.91</v>
      </c>
    </row>
    <row r="27" spans="1:16" ht="14.5">
      <c r="A27" s="5">
        <v>45689</v>
      </c>
      <c r="B27" s="6">
        <v>4.33</v>
      </c>
      <c r="C27" s="24">
        <v>13.15</v>
      </c>
      <c r="D27" s="8">
        <v>5.88</v>
      </c>
      <c r="E27" s="8">
        <v>176</v>
      </c>
      <c r="F27" s="8">
        <v>539.22</v>
      </c>
      <c r="G27" s="8">
        <v>107.61</v>
      </c>
      <c r="H27" s="8">
        <v>19.63</v>
      </c>
      <c r="I27" s="7">
        <v>5.89</v>
      </c>
      <c r="J27" s="9">
        <v>3.5165000000000002</v>
      </c>
      <c r="K27" s="10">
        <v>1.06</v>
      </c>
      <c r="L27" s="27">
        <v>110.8</v>
      </c>
      <c r="M27" s="22">
        <f t="shared" si="0"/>
        <v>8.82</v>
      </c>
    </row>
    <row r="28" spans="1:16" ht="14.5">
      <c r="A28" s="5">
        <v>45717</v>
      </c>
      <c r="B28" s="6">
        <v>4.33</v>
      </c>
      <c r="C28" s="24">
        <v>13.57</v>
      </c>
      <c r="D28" s="8">
        <v>5.68</v>
      </c>
      <c r="E28" s="8">
        <v>182</v>
      </c>
      <c r="F28" s="8">
        <v>547.11</v>
      </c>
      <c r="G28" s="8">
        <v>104.26</v>
      </c>
      <c r="H28" s="8">
        <v>21.27</v>
      </c>
      <c r="I28" s="7">
        <v>5.2</v>
      </c>
      <c r="J28" s="9">
        <v>3.2578</v>
      </c>
      <c r="K28" s="10">
        <v>-0.34</v>
      </c>
      <c r="L28" s="27">
        <v>110.9</v>
      </c>
      <c r="M28" s="22">
        <f t="shared" si="0"/>
        <v>9.24</v>
      </c>
    </row>
    <row r="29" spans="1:16" ht="14.5">
      <c r="A29" s="5">
        <v>45748</v>
      </c>
      <c r="B29" s="6">
        <v>4.33</v>
      </c>
      <c r="C29" s="24">
        <v>14.15</v>
      </c>
      <c r="D29" s="8">
        <v>5.67</v>
      </c>
      <c r="E29" s="8">
        <v>182</v>
      </c>
      <c r="F29" s="8">
        <v>547.6</v>
      </c>
      <c r="G29" s="8">
        <v>100</v>
      </c>
      <c r="H29" s="8">
        <v>24.6</v>
      </c>
      <c r="I29" s="7">
        <v>4.95</v>
      </c>
      <c r="J29" s="9">
        <v>3.1766999999999999</v>
      </c>
      <c r="K29" s="10">
        <v>0.24</v>
      </c>
      <c r="L29" s="27">
        <v>115.5</v>
      </c>
      <c r="M29" s="22">
        <f t="shared" si="0"/>
        <v>9.82</v>
      </c>
    </row>
    <row r="30" spans="1:16" ht="14.5">
      <c r="A30" s="5">
        <v>45778</v>
      </c>
      <c r="B30" s="6">
        <v>4.33</v>
      </c>
      <c r="C30" s="24">
        <v>14.55</v>
      </c>
      <c r="D30" s="8">
        <v>5.72</v>
      </c>
      <c r="E30" s="8">
        <v>160</v>
      </c>
      <c r="F30" s="8">
        <v>555.02</v>
      </c>
      <c r="G30" s="8">
        <v>99</v>
      </c>
      <c r="H30" s="8">
        <v>18.57</v>
      </c>
      <c r="I30" s="7">
        <v>4.8600000000000003</v>
      </c>
      <c r="J30" s="9">
        <v>3.1591</v>
      </c>
      <c r="K30" s="10">
        <v>-0.49</v>
      </c>
      <c r="L30" s="27">
        <v>112.8</v>
      </c>
      <c r="M30" s="22">
        <f t="shared" si="0"/>
        <v>10.220000000000001</v>
      </c>
    </row>
    <row r="31" spans="1:16" ht="14.5">
      <c r="A31" s="5">
        <v>45809</v>
      </c>
      <c r="B31" s="6">
        <v>4.33</v>
      </c>
      <c r="C31" s="25">
        <v>14.74</v>
      </c>
      <c r="D31" s="8">
        <v>5.51</v>
      </c>
      <c r="E31" s="8">
        <v>156</v>
      </c>
      <c r="F31" s="8">
        <v>561</v>
      </c>
      <c r="G31" s="8">
        <v>98.49</v>
      </c>
      <c r="H31" s="8">
        <v>20.21</v>
      </c>
      <c r="I31" s="7">
        <v>4.88</v>
      </c>
      <c r="J31" s="9">
        <v>3.1591</v>
      </c>
      <c r="K31" s="10">
        <v>-1.67</v>
      </c>
      <c r="L31" s="29">
        <v>112</v>
      </c>
      <c r="M31" s="22">
        <f t="shared" si="0"/>
        <v>10.41</v>
      </c>
      <c r="O31" s="19">
        <v>1</v>
      </c>
      <c r="P31" s="19"/>
    </row>
    <row r="32" spans="1:16" ht="21.75" customHeight="1">
      <c r="A32" s="5">
        <v>45839</v>
      </c>
      <c r="B32" s="21">
        <f>B31*O32</f>
        <v>4.4599000000000002</v>
      </c>
      <c r="C32" s="25">
        <v>14.74</v>
      </c>
      <c r="D32" s="20">
        <f>EXP(LN(D31)+Modelo!$C$5*(LN(F32)-LN(F31))+Modelo!$C$6*(LN(H32)-LN(H31))+Modelo!$C$7*(LN(E32)-LN(E31))+Modelo!$C$8*(LN(G32)-LN(G31))+Modelo!$C$9*(LN(L32)-LN(L31))+Modelo!$C$10*(LN(C32)-LN(C31))+Modelo!$C$11*(LN(B32)-LN(B31))+Modelo!$C$11*(M32-M31)+ Modelo!$C$13)</f>
        <v>5.5812344750276299</v>
      </c>
      <c r="E32" s="8">
        <v>150</v>
      </c>
      <c r="F32" s="8">
        <v>550</v>
      </c>
      <c r="G32" s="8">
        <v>97</v>
      </c>
      <c r="H32" s="8">
        <v>19</v>
      </c>
      <c r="L32" s="29">
        <v>112</v>
      </c>
      <c r="M32" s="22">
        <f t="shared" ref="M32:M49" si="1">C32-B32</f>
        <v>10.280100000000001</v>
      </c>
      <c r="O32" s="19">
        <v>1.03</v>
      </c>
      <c r="P32" s="19">
        <v>0.97</v>
      </c>
    </row>
    <row r="33" spans="1:16" ht="14.5">
      <c r="A33" s="5">
        <v>45870</v>
      </c>
      <c r="B33" s="21">
        <f t="shared" ref="B33:B49" si="2">B32*O33</f>
        <v>4.5936970000000006</v>
      </c>
      <c r="C33" s="25">
        <v>14.74</v>
      </c>
      <c r="D33" s="20">
        <f>EXP(LN(D32)+Modelo!$C$5*(LN(F33)-LN(F32))+Modelo!$C$6*(LN(H33)-LN(H32))+Modelo!$C$7*(LN(E33)-LN(E32))+Modelo!$C$8*(LN(G33)-LN(G32))+Modelo!$C$9*(LN(L33)-LN(L32))+Modelo!$C$10*(LN(C33)-LN(C32))+Modelo!$C$11*(LN(B33)-LN(B32))+Modelo!$C$11*(M33-M32)+ Modelo!$C$13)</f>
        <v>5.6808291186383197</v>
      </c>
      <c r="E33" s="8">
        <v>150</v>
      </c>
      <c r="F33" s="8">
        <v>550</v>
      </c>
      <c r="G33" s="8">
        <v>97</v>
      </c>
      <c r="H33" s="8">
        <v>19</v>
      </c>
      <c r="L33" s="29">
        <v>112</v>
      </c>
      <c r="M33" s="22">
        <f t="shared" si="1"/>
        <v>10.146303</v>
      </c>
      <c r="O33" s="19">
        <v>1.03</v>
      </c>
      <c r="P33" s="19">
        <v>0.97</v>
      </c>
    </row>
    <row r="34" spans="1:16" ht="14.5">
      <c r="A34" s="5">
        <v>45901</v>
      </c>
      <c r="B34" s="21">
        <f t="shared" si="2"/>
        <v>4.7315079100000004</v>
      </c>
      <c r="C34" s="25">
        <v>14.74</v>
      </c>
      <c r="D34" s="20">
        <f>EXP(LN(D33)+Modelo!$C$5*(LN(F34)-LN(F33))+Modelo!$C$6*(LN(H34)-LN(H33))+Modelo!$C$7*(LN(E34)-LN(E33))+Modelo!$C$8*(LN(G34)-LN(G33))+Modelo!$C$9*(LN(L34)-LN(L33))+Modelo!$C$10*(LN(C34)-LN(C33))+Modelo!$C$11*(LN(B34)-LN(B33))+Modelo!$C$11*(M34-M33)+ Modelo!$C$13)</f>
        <v>5.7826205296500133</v>
      </c>
      <c r="E34" s="8">
        <v>150</v>
      </c>
      <c r="F34" s="8">
        <v>550</v>
      </c>
      <c r="G34" s="8">
        <v>97</v>
      </c>
      <c r="H34" s="8">
        <v>19</v>
      </c>
      <c r="L34" s="29">
        <v>112</v>
      </c>
      <c r="M34" s="22">
        <f t="shared" si="1"/>
        <v>10.008492090000001</v>
      </c>
      <c r="O34" s="19">
        <v>1.03</v>
      </c>
      <c r="P34" s="19">
        <v>0.97</v>
      </c>
    </row>
    <row r="35" spans="1:16" ht="14.5">
      <c r="A35" s="5">
        <v>45931</v>
      </c>
      <c r="B35" s="21">
        <f t="shared" si="2"/>
        <v>4.8734531473000002</v>
      </c>
      <c r="C35" s="25">
        <v>14.74</v>
      </c>
      <c r="D35" s="20">
        <f>EXP(LN(D34)+Modelo!$C$5*(LN(F35)-LN(F34))+Modelo!$C$6*(LN(H35)-LN(H34))+Modelo!$C$7*(LN(E35)-LN(E34))+Modelo!$C$8*(LN(G35)-LN(G34))+Modelo!$C$9*(LN(L35)-LN(L34))+Modelo!$C$10*(LN(C35)-LN(C34))+Modelo!$C$11*(LN(B35)-LN(B34))+Modelo!$C$11*(M35-M34)+ Modelo!$C$13)</f>
        <v>5.8866757878503524</v>
      </c>
      <c r="E35" s="8">
        <v>150</v>
      </c>
      <c r="F35" s="8">
        <v>550</v>
      </c>
      <c r="G35" s="8">
        <v>97</v>
      </c>
      <c r="H35" s="8">
        <v>19</v>
      </c>
      <c r="L35" s="29">
        <v>112</v>
      </c>
      <c r="M35" s="22">
        <f t="shared" si="1"/>
        <v>9.8665468527000009</v>
      </c>
      <c r="O35" s="19">
        <v>1.03</v>
      </c>
      <c r="P35" s="19">
        <v>0.97</v>
      </c>
    </row>
    <row r="36" spans="1:16" ht="14.5">
      <c r="A36" s="5">
        <v>45962</v>
      </c>
      <c r="B36" s="21">
        <f t="shared" si="2"/>
        <v>5.0196567417190003</v>
      </c>
      <c r="C36" s="25">
        <v>14.74</v>
      </c>
      <c r="D36" s="20">
        <f>EXP(LN(D35)+Modelo!$C$5*(LN(F36)-LN(F35))+Modelo!$C$6*(LN(H36)-LN(H35))+Modelo!$C$7*(LN(E36)-LN(E35))+Modelo!$C$8*(LN(G36)-LN(G35))+Modelo!$C$9*(LN(L36)-LN(L35))+Modelo!$C$10*(LN(C36)-LN(C35))+Modelo!$C$11*(LN(B36)-LN(B35))+Modelo!$C$11*(M36-M35)+ Modelo!$C$13)</f>
        <v>5.9930647592624213</v>
      </c>
      <c r="E36" s="8">
        <v>150</v>
      </c>
      <c r="F36" s="8">
        <v>550</v>
      </c>
      <c r="G36" s="8">
        <v>97</v>
      </c>
      <c r="H36" s="8">
        <v>19</v>
      </c>
      <c r="L36" s="29">
        <v>112</v>
      </c>
      <c r="M36" s="22">
        <f t="shared" si="1"/>
        <v>9.7203432582809999</v>
      </c>
      <c r="O36" s="19">
        <v>1.03</v>
      </c>
      <c r="P36" s="19">
        <v>0.97</v>
      </c>
    </row>
    <row r="37" spans="1:16" ht="14.5">
      <c r="A37" s="5">
        <v>45992</v>
      </c>
      <c r="B37" s="21">
        <f t="shared" si="2"/>
        <v>5.1702464439705702</v>
      </c>
      <c r="C37" s="25">
        <v>14.74</v>
      </c>
      <c r="D37" s="20">
        <f>EXP(LN(D36)+Modelo!$C$5*(LN(F37)-LN(F36))+Modelo!$C$6*(LN(H37)-LN(H36))+Modelo!$C$7*(LN(E37)-LN(E36))+Modelo!$C$8*(LN(G37)-LN(G36))+Modelo!$C$9*(LN(L37)-LN(L36))+Modelo!$C$10*(LN(C37)-LN(C36))+Modelo!$C$11*(LN(B37)-LN(B36))+Modelo!$C$11*(M37-M36)+ Modelo!$C$13)</f>
        <v>6.1018602382742237</v>
      </c>
      <c r="E37" s="8">
        <v>150</v>
      </c>
      <c r="F37" s="8">
        <v>550</v>
      </c>
      <c r="G37" s="8">
        <v>97</v>
      </c>
      <c r="H37" s="8">
        <v>19</v>
      </c>
      <c r="L37" s="29">
        <v>112</v>
      </c>
      <c r="M37" s="22">
        <f t="shared" si="1"/>
        <v>9.5697535560294291</v>
      </c>
      <c r="O37" s="19">
        <v>1.03</v>
      </c>
      <c r="P37" s="19">
        <v>0.97</v>
      </c>
    </row>
    <row r="38" spans="1:16" ht="14.5">
      <c r="A38" s="5">
        <v>46023</v>
      </c>
      <c r="B38" s="21">
        <f t="shared" si="2"/>
        <v>5.3253538372896871</v>
      </c>
      <c r="C38" s="25">
        <v>14.74</v>
      </c>
      <c r="D38" s="20">
        <f>EXP(LN(D37)+Modelo!$C$5*(LN(F38)-LN(F37))+Modelo!$C$6*(LN(H38)-LN(H37))+Modelo!$C$7*(LN(E38)-LN(E37))+Modelo!$C$8*(LN(G38)-LN(G37))+Modelo!$C$9*(LN(L38)-LN(L37))+Modelo!$C$10*(LN(C38)-LN(C37))+Modelo!$C$11*(LN(B38)-LN(B37))+Modelo!$C$11*(M38-M37)+ Modelo!$C$13)</f>
        <v>6.2131380980982271</v>
      </c>
      <c r="E38" s="8">
        <v>150</v>
      </c>
      <c r="F38" s="8">
        <v>550</v>
      </c>
      <c r="G38" s="8">
        <v>97</v>
      </c>
      <c r="H38" s="8">
        <v>19</v>
      </c>
      <c r="L38" s="29">
        <v>112</v>
      </c>
      <c r="M38" s="22">
        <f t="shared" si="1"/>
        <v>9.4146461627103122</v>
      </c>
      <c r="O38" s="19">
        <v>1.03</v>
      </c>
      <c r="P38" s="19">
        <v>0.97</v>
      </c>
    </row>
    <row r="39" spans="1:16" ht="14.5">
      <c r="A39" s="5">
        <v>46054</v>
      </c>
      <c r="B39" s="21">
        <f t="shared" si="2"/>
        <v>5.4851144524083777</v>
      </c>
      <c r="C39" s="25">
        <v>14.74</v>
      </c>
      <c r="D39" s="20">
        <f>EXP(LN(D38)+Modelo!$C$5*(LN(F39)-LN(F38))+Modelo!$C$6*(LN(H39)-LN(H38))+Modelo!$C$7*(LN(E39)-LN(E38))+Modelo!$C$8*(LN(G39)-LN(G38))+Modelo!$C$9*(LN(L39)-LN(L38))+Modelo!$C$10*(LN(C39)-LN(C38))+Modelo!$C$11*(LN(B39)-LN(B38))+Modelo!$C$11*(M39-M38)+ Modelo!$C$13)</f>
        <v>6.3269774501096681</v>
      </c>
      <c r="E39" s="8">
        <v>150</v>
      </c>
      <c r="F39" s="8">
        <v>550</v>
      </c>
      <c r="G39" s="8">
        <v>97</v>
      </c>
      <c r="H39" s="8">
        <v>19</v>
      </c>
      <c r="L39" s="29">
        <v>112</v>
      </c>
      <c r="M39" s="22">
        <f t="shared" si="1"/>
        <v>9.2548855475916234</v>
      </c>
      <c r="O39" s="19">
        <v>1.03</v>
      </c>
      <c r="P39" s="19">
        <v>0.97</v>
      </c>
    </row>
    <row r="40" spans="1:16" ht="14.5">
      <c r="A40" s="5">
        <v>46082</v>
      </c>
      <c r="B40" s="21">
        <f t="shared" si="2"/>
        <v>5.6496678859806293</v>
      </c>
      <c r="C40" s="25">
        <v>14.74</v>
      </c>
      <c r="D40" s="20">
        <f>EXP(LN(D39)+Modelo!$C$5*(LN(F40)-LN(F39))+Modelo!$C$6*(LN(H40)-LN(H39))+Modelo!$C$7*(LN(E40)-LN(E39))+Modelo!$C$8*(LN(G40)-LN(G39))+Modelo!$C$9*(LN(L40)-LN(L39))+Modelo!$C$10*(LN(C40)-LN(C39))+Modelo!$C$11*(LN(B40)-LN(B39))+Modelo!$C$11*(M40-M39)+ Modelo!$C$13)</f>
        <v>6.4434608126526633</v>
      </c>
      <c r="E40" s="8">
        <v>150</v>
      </c>
      <c r="F40" s="8">
        <v>550</v>
      </c>
      <c r="G40" s="8">
        <v>97</v>
      </c>
      <c r="H40" s="8">
        <v>19</v>
      </c>
      <c r="L40" s="29">
        <v>112</v>
      </c>
      <c r="M40" s="22">
        <f t="shared" si="1"/>
        <v>9.0903321140193718</v>
      </c>
      <c r="O40" s="19">
        <v>1.03</v>
      </c>
      <c r="P40" s="19">
        <v>0.97</v>
      </c>
    </row>
    <row r="41" spans="1:16" ht="14.5">
      <c r="A41" s="5">
        <v>46113</v>
      </c>
      <c r="B41" s="21">
        <f t="shared" si="2"/>
        <v>5.8191579225600485</v>
      </c>
      <c r="C41" s="25">
        <v>14.74</v>
      </c>
      <c r="D41" s="20">
        <f>EXP(LN(D40)+Modelo!$C$5*(LN(F41)-LN(F40))+Modelo!$C$6*(LN(H41)-LN(H40))+Modelo!$C$7*(LN(E41)-LN(E40))+Modelo!$C$8*(LN(G41)-LN(G40))+Modelo!$C$9*(LN(L41)-LN(L40))+Modelo!$C$10*(LN(C41)-LN(C40))+Modelo!$C$11*(LN(B41)-LN(B40))+Modelo!$C$11*(M41-M40)+ Modelo!$C$13)</f>
        <v>6.5626742899467523</v>
      </c>
      <c r="E41" s="8">
        <v>150</v>
      </c>
      <c r="F41" s="8">
        <v>550</v>
      </c>
      <c r="G41" s="8">
        <v>97</v>
      </c>
      <c r="H41" s="8">
        <v>19</v>
      </c>
      <c r="L41" s="29">
        <v>112</v>
      </c>
      <c r="M41" s="22">
        <f t="shared" si="1"/>
        <v>8.9208420774399517</v>
      </c>
      <c r="O41" s="19">
        <v>1.03</v>
      </c>
      <c r="P41" s="19">
        <v>0.97</v>
      </c>
    </row>
    <row r="42" spans="1:16" ht="14.5">
      <c r="A42" s="5">
        <v>46143</v>
      </c>
      <c r="B42" s="21">
        <f t="shared" si="2"/>
        <v>5.9937326602368497</v>
      </c>
      <c r="C42" s="25">
        <v>14.74</v>
      </c>
      <c r="D42" s="20">
        <f>EXP(LN(D41)+Modelo!$C$5*(LN(F42)-LN(F41))+Modelo!$C$6*(LN(H42)-LN(H41))+Modelo!$C$7*(LN(E42)-LN(E41))+Modelo!$C$8*(LN(G42)-LN(G41))+Modelo!$C$9*(LN(L42)-LN(L41))+Modelo!$C$10*(LN(C42)-LN(C41))+Modelo!$C$11*(LN(B42)-LN(B41))+Modelo!$C$11*(M42-M41)+ Modelo!$C$13)</f>
        <v>6.6847077617736765</v>
      </c>
      <c r="E42" s="8">
        <v>150</v>
      </c>
      <c r="F42" s="8">
        <v>550</v>
      </c>
      <c r="G42" s="8">
        <v>97</v>
      </c>
      <c r="H42" s="8">
        <v>19</v>
      </c>
      <c r="L42" s="29">
        <v>112</v>
      </c>
      <c r="M42" s="22">
        <f t="shared" si="1"/>
        <v>8.7462673397631505</v>
      </c>
      <c r="O42" s="19">
        <v>1.03</v>
      </c>
      <c r="P42" s="19">
        <v>0.97</v>
      </c>
    </row>
    <row r="43" spans="1:16" ht="14.5">
      <c r="A43" s="5">
        <v>46174</v>
      </c>
      <c r="B43" s="21">
        <f t="shared" si="2"/>
        <v>6.1735446400439553</v>
      </c>
      <c r="C43" s="25">
        <v>14.74</v>
      </c>
      <c r="D43" s="20">
        <f>EXP(LN(D42)+Modelo!$C$5*(LN(F43)-LN(F42))+Modelo!$C$6*(LN(H43)-LN(H42))+Modelo!$C$7*(LN(E43)-LN(E42))+Modelo!$C$8*(LN(G43)-LN(G42))+Modelo!$C$9*(LN(L43)-LN(L42))+Modelo!$C$10*(LN(C43)-LN(C42))+Modelo!$C$11*(LN(B43)-LN(B42))+Modelo!$C$11*(M43-M42)+ Modelo!$C$13)</f>
        <v>6.8096550846752262</v>
      </c>
      <c r="E43" s="8">
        <v>150</v>
      </c>
      <c r="F43" s="8">
        <v>550</v>
      </c>
      <c r="G43" s="8">
        <v>97</v>
      </c>
      <c r="H43" s="8">
        <v>19</v>
      </c>
      <c r="L43" s="29">
        <v>112</v>
      </c>
      <c r="M43" s="22">
        <f t="shared" si="1"/>
        <v>8.5664553599560449</v>
      </c>
      <c r="O43" s="19">
        <v>1.03</v>
      </c>
      <c r="P43" s="19">
        <v>0.97</v>
      </c>
    </row>
    <row r="44" spans="1:16" ht="14.5">
      <c r="A44" s="5">
        <v>46204</v>
      </c>
      <c r="B44" s="21">
        <f t="shared" si="2"/>
        <v>6.3587509792452739</v>
      </c>
      <c r="C44" s="25">
        <v>14.74</v>
      </c>
      <c r="D44" s="20">
        <f>EXP(LN(D43)+Modelo!$C$5*(LN(F44)-LN(F43))+Modelo!$C$6*(LN(H44)-LN(H43))+Modelo!$C$7*(LN(E44)-LN(E43))+Modelo!$C$8*(LN(G44)-LN(G43))+Modelo!$C$9*(LN(L44)-LN(L43))+Modelo!$C$10*(LN(C44)-LN(C43))+Modelo!$C$11*(LN(B44)-LN(B43))+Modelo!$C$11*(M44-M43)+ Modelo!$C$13)</f>
        <v>6.9376143054483217</v>
      </c>
      <c r="E44" s="8">
        <v>150</v>
      </c>
      <c r="F44" s="8">
        <v>550</v>
      </c>
      <c r="G44" s="8">
        <v>97</v>
      </c>
      <c r="H44" s="8">
        <v>19</v>
      </c>
      <c r="L44" s="29">
        <v>112</v>
      </c>
      <c r="M44" s="22">
        <f t="shared" si="1"/>
        <v>8.3812490207547263</v>
      </c>
      <c r="O44" s="19">
        <v>1.03</v>
      </c>
      <c r="P44" s="19">
        <v>0.97</v>
      </c>
    </row>
    <row r="45" spans="1:16" ht="14.5">
      <c r="A45" s="5">
        <v>46235</v>
      </c>
      <c r="B45" s="21">
        <f t="shared" si="2"/>
        <v>6.5495135086226322</v>
      </c>
      <c r="C45" s="25">
        <v>14.74</v>
      </c>
      <c r="D45" s="20">
        <f>EXP(LN(D44)+Modelo!$C$5*(LN(F45)-LN(F44))+Modelo!$C$6*(LN(H45)-LN(H44))+Modelo!$C$7*(LN(E45)-LN(E44))+Modelo!$C$8*(LN(G45)-LN(G44))+Modelo!$C$9*(LN(L45)-LN(L44))+Modelo!$C$10*(LN(C45)-LN(C44))+Modelo!$C$11*(LN(B45)-LN(B44))+Modelo!$C$11*(M45-M44)+ Modelo!$C$13)</f>
        <v>7.0686878877833896</v>
      </c>
      <c r="E45" s="8">
        <v>150</v>
      </c>
      <c r="F45" s="8">
        <v>550</v>
      </c>
      <c r="G45" s="8">
        <v>97</v>
      </c>
      <c r="H45" s="8">
        <v>19</v>
      </c>
      <c r="L45" s="29">
        <v>112</v>
      </c>
      <c r="M45" s="22">
        <f t="shared" si="1"/>
        <v>8.1904864913773672</v>
      </c>
      <c r="O45" s="19">
        <v>1.03</v>
      </c>
      <c r="P45" s="19">
        <v>0.97</v>
      </c>
    </row>
    <row r="46" spans="1:16" ht="14.5">
      <c r="A46" s="5">
        <v>46266</v>
      </c>
      <c r="B46" s="21">
        <f t="shared" si="2"/>
        <v>6.7459989138813112</v>
      </c>
      <c r="C46" s="25">
        <v>14.74</v>
      </c>
      <c r="D46" s="20">
        <f>EXP(LN(D45)+Modelo!$C$5*(LN(F46)-LN(F45))+Modelo!$C$6*(LN(H46)-LN(H45))+Modelo!$C$7*(LN(E46)-LN(E45))+Modelo!$C$8*(LN(G46)-LN(G45))+Modelo!$C$9*(LN(L46)-LN(L45))+Modelo!$C$10*(LN(C46)-LN(C45))+Modelo!$C$11*(LN(B46)-LN(B45))+Modelo!$C$11*(M46-M45)+ Modelo!$C$13)</f>
        <v>7.202982952957071</v>
      </c>
      <c r="E46" s="8">
        <v>150</v>
      </c>
      <c r="F46" s="8">
        <v>550</v>
      </c>
      <c r="G46" s="8">
        <v>97</v>
      </c>
      <c r="H46" s="8">
        <v>19</v>
      </c>
      <c r="L46" s="29">
        <v>112</v>
      </c>
      <c r="M46" s="22">
        <f t="shared" si="1"/>
        <v>7.994001086118689</v>
      </c>
      <c r="O46" s="19">
        <v>1.03</v>
      </c>
      <c r="P46" s="19">
        <v>0.97</v>
      </c>
    </row>
    <row r="47" spans="1:16" ht="14.5">
      <c r="A47" s="5">
        <v>46296</v>
      </c>
      <c r="B47" s="21">
        <f t="shared" si="2"/>
        <v>6.9483788812977512</v>
      </c>
      <c r="C47" s="25">
        <v>14.74</v>
      </c>
      <c r="D47" s="20">
        <f>EXP(LN(D46)+Modelo!$C$5*(LN(F47)-LN(F46))+Modelo!$C$6*(LN(H47)-LN(H46))+Modelo!$C$7*(LN(E47)-LN(E46))+Modelo!$C$8*(LN(G47)-LN(G46))+Modelo!$C$9*(LN(L47)-LN(L46))+Modelo!$C$10*(LN(C47)-LN(C46))+Modelo!$C$11*(LN(B47)-LN(B46))+Modelo!$C$11*(M47-M46)+ Modelo!$C$13)</f>
        <v>7.3406115355608117</v>
      </c>
      <c r="E47" s="8">
        <v>150</v>
      </c>
      <c r="F47" s="8">
        <v>550</v>
      </c>
      <c r="G47" s="8">
        <v>97</v>
      </c>
      <c r="H47" s="8">
        <v>19</v>
      </c>
      <c r="L47" s="29">
        <v>112</v>
      </c>
      <c r="M47" s="22">
        <f t="shared" si="1"/>
        <v>7.791621118702249</v>
      </c>
      <c r="O47" s="19">
        <v>1.03</v>
      </c>
      <c r="P47" s="19">
        <v>0.97</v>
      </c>
    </row>
    <row r="48" spans="1:16" ht="14.5">
      <c r="A48" s="5">
        <v>46327</v>
      </c>
      <c r="B48" s="21">
        <f t="shared" si="2"/>
        <v>7.1568302477366839</v>
      </c>
      <c r="C48" s="25">
        <v>14.74</v>
      </c>
      <c r="D48" s="20">
        <f>EXP(LN(D47)+Modelo!$C$5*(LN(F48)-LN(F47))+Modelo!$C$6*(LN(H48)-LN(H47))+Modelo!$C$7*(LN(E48)-LN(E47))+Modelo!$C$8*(LN(G48)-LN(G47))+Modelo!$C$9*(LN(L48)-LN(L47))+Modelo!$C$10*(LN(C48)-LN(C47))+Modelo!$C$11*(LN(B48)-LN(B47))+Modelo!$C$11*(M48-M47)+ Modelo!$C$13)</f>
        <v>7.481690855323369</v>
      </c>
      <c r="E48" s="8">
        <v>150</v>
      </c>
      <c r="F48" s="8">
        <v>550</v>
      </c>
      <c r="G48" s="8">
        <v>97</v>
      </c>
      <c r="H48" s="8">
        <v>19</v>
      </c>
      <c r="L48" s="29">
        <v>112</v>
      </c>
      <c r="M48" s="22">
        <f t="shared" si="1"/>
        <v>7.5831697522633164</v>
      </c>
      <c r="O48" s="19">
        <v>1.03</v>
      </c>
      <c r="P48" s="19">
        <v>0.97</v>
      </c>
    </row>
    <row r="49" spans="1:20" ht="14.5">
      <c r="A49" s="5">
        <v>46357</v>
      </c>
      <c r="B49" s="21">
        <f t="shared" si="2"/>
        <v>7.3715351551687842</v>
      </c>
      <c r="C49" s="25">
        <v>14.74</v>
      </c>
      <c r="D49" s="20">
        <f>EXP(LN(D48)+Modelo!$C$5*(LN(F49)-LN(F48))+Modelo!$C$6*(LN(H49)-LN(H48))+Modelo!$C$7*(LN(E49)-LN(E48))+Modelo!$C$8*(LN(G49)-LN(G48))+Modelo!$C$9*(LN(L49)-LN(L48))+Modelo!$C$10*(LN(C49)-LN(C48))+Modelo!$C$11*(LN(B49)-LN(B48))+Modelo!$C$11*(M49-M48)+ Modelo!$C$13)</f>
        <v>7.6263436061684011</v>
      </c>
      <c r="E49" s="8">
        <v>150</v>
      </c>
      <c r="F49" s="8">
        <v>550</v>
      </c>
      <c r="G49" s="8">
        <v>97</v>
      </c>
      <c r="H49" s="8">
        <v>19</v>
      </c>
      <c r="L49" s="29">
        <v>112</v>
      </c>
      <c r="M49" s="22">
        <f t="shared" si="1"/>
        <v>7.368464844831216</v>
      </c>
      <c r="O49" s="19">
        <v>1.03</v>
      </c>
      <c r="P49" s="19">
        <v>0.97</v>
      </c>
    </row>
    <row r="50" spans="1:20">
      <c r="M50" s="29"/>
      <c r="O50" s="19">
        <v>1.03</v>
      </c>
      <c r="P50" s="19">
        <v>0.97</v>
      </c>
    </row>
    <row r="51" spans="1:20" ht="14.5">
      <c r="A51" s="5">
        <v>45809</v>
      </c>
      <c r="B51">
        <v>4.33</v>
      </c>
      <c r="C51" s="25">
        <v>14.74</v>
      </c>
      <c r="D51" s="8">
        <v>5.51</v>
      </c>
      <c r="E51" s="8">
        <v>156</v>
      </c>
      <c r="F51" s="8">
        <v>561</v>
      </c>
      <c r="G51" s="8">
        <v>98.49</v>
      </c>
      <c r="H51" s="8">
        <v>20.21</v>
      </c>
      <c r="I51" s="7">
        <v>4.88</v>
      </c>
      <c r="J51" s="9">
        <v>3.1591</v>
      </c>
      <c r="K51" s="10">
        <v>-1.67</v>
      </c>
      <c r="L51" s="29">
        <v>112</v>
      </c>
      <c r="M51" s="29">
        <f>C51-B51</f>
        <v>10.41</v>
      </c>
      <c r="O51" s="19"/>
    </row>
    <row r="52" spans="1:20" ht="14.5">
      <c r="A52" s="5">
        <v>45839</v>
      </c>
      <c r="B52" s="21">
        <f>B51*P32</f>
        <v>4.2000999999999999</v>
      </c>
      <c r="C52" s="25">
        <v>14.74</v>
      </c>
      <c r="D52" s="20">
        <f>EXP(LN(D51)+Modelo!$C$5*(LN(F52)-LN(F51))+Modelo!$C$6*(LN(H52)-LN(H51))+Modelo!$C$7*(LN(E52)-LN(E51))+Modelo!$C$8*(LN(G52)-LN(G51))+Modelo!$C$9*(LN(L52)-LN(L51))+Modelo!$C$10*(LN(C52)-LN(C51))+Modelo!$C$11*(LN(B52)-LN(B51))+Modelo!$C$11*(M52-M51)+ Modelo!$C$13)</f>
        <v>5.5611155395792329</v>
      </c>
      <c r="E52" s="8">
        <v>150</v>
      </c>
      <c r="F52" s="8">
        <v>550</v>
      </c>
      <c r="G52" s="8">
        <v>97</v>
      </c>
      <c r="H52" s="8">
        <v>19</v>
      </c>
      <c r="L52" s="29">
        <v>112</v>
      </c>
      <c r="M52" s="29">
        <f t="shared" ref="M52:M69" si="3">C52-B52</f>
        <v>10.539899999999999</v>
      </c>
    </row>
    <row r="53" spans="1:20" ht="14.5">
      <c r="A53" s="5">
        <v>45870</v>
      </c>
      <c r="B53" s="21">
        <f t="shared" ref="B53:B69" si="4">B52*P33</f>
        <v>4.0740970000000001</v>
      </c>
      <c r="C53" s="25">
        <v>14.74</v>
      </c>
      <c r="D53" s="20">
        <f>EXP(LN(D52)+Modelo!$C$5*(LN(F53)-LN(F52))+Modelo!$C$6*(LN(H53)-LN(H52))+Modelo!$C$7*(LN(E53)-LN(E52))+Modelo!$C$8*(LN(G53)-LN(G52))+Modelo!$C$9*(LN(L53)-LN(L52))+Modelo!$C$10*(LN(C53)-LN(C52))+Modelo!$C$11*(LN(B53)-LN(B52))+Modelo!$C$11*(M53-M52)+ Modelo!$C$13)</f>
        <v>5.6399470386698871</v>
      </c>
      <c r="E53" s="8">
        <v>150</v>
      </c>
      <c r="F53" s="8">
        <v>550</v>
      </c>
      <c r="G53" s="8">
        <v>97</v>
      </c>
      <c r="H53" s="8">
        <v>19</v>
      </c>
      <c r="L53" s="29">
        <v>112</v>
      </c>
      <c r="M53" s="29">
        <f t="shared" si="3"/>
        <v>10.665903</v>
      </c>
    </row>
    <row r="54" spans="1:20" ht="14.5">
      <c r="A54" s="5">
        <v>45901</v>
      </c>
      <c r="B54" s="21">
        <f t="shared" si="4"/>
        <v>3.95187409</v>
      </c>
      <c r="C54" s="25">
        <v>14.74</v>
      </c>
      <c r="D54" s="20">
        <f>EXP(LN(D53)+Modelo!$C$5*(LN(F54)-LN(F53))+Modelo!$C$6*(LN(H54)-LN(H53))+Modelo!$C$7*(LN(E54)-LN(E53))+Modelo!$C$8*(LN(G54)-LN(G53))+Modelo!$C$9*(LN(L54)-LN(L53))+Modelo!$C$10*(LN(C54)-LN(C53))+Modelo!$C$11*(LN(B54)-LN(B53))+Modelo!$C$11*(M54-M53)+ Modelo!$C$13)</f>
        <v>5.7202868599346992</v>
      </c>
      <c r="E54" s="8">
        <v>150</v>
      </c>
      <c r="F54" s="8">
        <v>550</v>
      </c>
      <c r="G54" s="8">
        <v>97</v>
      </c>
      <c r="H54" s="8">
        <v>19</v>
      </c>
      <c r="L54" s="29">
        <v>112</v>
      </c>
      <c r="M54" s="29">
        <f t="shared" si="3"/>
        <v>10.78812591</v>
      </c>
    </row>
    <row r="55" spans="1:20" ht="14.5">
      <c r="A55" s="5">
        <v>45931</v>
      </c>
      <c r="B55" s="21">
        <f t="shared" si="4"/>
        <v>3.8333178672999999</v>
      </c>
      <c r="C55" s="25">
        <v>14.74</v>
      </c>
      <c r="D55" s="20">
        <f>EXP(LN(D54)+Modelo!$C$5*(LN(F55)-LN(F54))+Modelo!$C$6*(LN(H55)-LN(H54))+Modelo!$C$7*(LN(E55)-LN(E54))+Modelo!$C$8*(LN(G55)-LN(G54))+Modelo!$C$9*(LN(L55)-LN(L54))+Modelo!$C$10*(LN(C55)-LN(C54))+Modelo!$C$11*(LN(B55)-LN(B54))+Modelo!$C$11*(M55-M54)+ Modelo!$C$13)</f>
        <v>5.8021556530741263</v>
      </c>
      <c r="E55" s="8">
        <v>150</v>
      </c>
      <c r="F55" s="8">
        <v>550</v>
      </c>
      <c r="G55" s="8">
        <v>97</v>
      </c>
      <c r="H55" s="8">
        <v>19</v>
      </c>
      <c r="L55" s="29">
        <v>112</v>
      </c>
      <c r="M55" s="29">
        <f t="shared" si="3"/>
        <v>10.9066821327</v>
      </c>
    </row>
    <row r="56" spans="1:20" ht="14.5">
      <c r="A56" s="5">
        <v>45962</v>
      </c>
      <c r="B56" s="21">
        <f t="shared" si="4"/>
        <v>3.718318331281</v>
      </c>
      <c r="C56" s="25">
        <v>14.74</v>
      </c>
      <c r="D56" s="20">
        <f>EXP(LN(D55)+Modelo!$C$5*(LN(F56)-LN(F55))+Modelo!$C$6*(LN(H56)-LN(H55))+Modelo!$C$7*(LN(E56)-LN(E55))+Modelo!$C$8*(LN(G56)-LN(G55))+Modelo!$C$9*(LN(L56)-LN(L55))+Modelo!$C$10*(LN(C56)-LN(C55))+Modelo!$C$11*(LN(B56)-LN(B55))+Modelo!$C$11*(M56-M55)+ Modelo!$C$13)</f>
        <v>5.8855745284197054</v>
      </c>
      <c r="E56" s="8">
        <v>150</v>
      </c>
      <c r="F56" s="8">
        <v>550</v>
      </c>
      <c r="G56" s="8">
        <v>97</v>
      </c>
      <c r="H56" s="8">
        <v>19</v>
      </c>
      <c r="L56" s="29">
        <v>112</v>
      </c>
      <c r="M56" s="29">
        <f t="shared" si="3"/>
        <v>11.021681668719001</v>
      </c>
    </row>
    <row r="57" spans="1:20" ht="14.5">
      <c r="A57" s="5">
        <v>45992</v>
      </c>
      <c r="B57" s="21">
        <f t="shared" si="4"/>
        <v>3.60676878134257</v>
      </c>
      <c r="C57" s="25">
        <v>14.74</v>
      </c>
      <c r="D57" s="20">
        <f>EXP(LN(D56)+Modelo!$C$5*(LN(F57)-LN(F56))+Modelo!$C$6*(LN(H57)-LN(H56))+Modelo!$C$7*(LN(E57)-LN(E56))+Modelo!$C$8*(LN(G57)-LN(G56))+Modelo!$C$9*(LN(L57)-LN(L56))+Modelo!$C$10*(LN(C57)-LN(C56))+Modelo!$C$11*(LN(B57)-LN(B56))+Modelo!$C$11*(M57-M56)+ Modelo!$C$13)</f>
        <v>5.9705650598501725</v>
      </c>
      <c r="E57" s="8">
        <v>150</v>
      </c>
      <c r="F57" s="8">
        <v>550</v>
      </c>
      <c r="G57" s="8">
        <v>97</v>
      </c>
      <c r="H57" s="8">
        <v>19</v>
      </c>
      <c r="L57" s="29">
        <v>112</v>
      </c>
      <c r="M57" s="29">
        <f t="shared" si="3"/>
        <v>11.13323121865743</v>
      </c>
    </row>
    <row r="58" spans="1:20" ht="14.5">
      <c r="A58" s="5">
        <v>46023</v>
      </c>
      <c r="B58" s="21">
        <f t="shared" si="4"/>
        <v>3.4985657179022929</v>
      </c>
      <c r="C58" s="25">
        <v>14.74</v>
      </c>
      <c r="D58" s="20">
        <f>EXP(LN(D57)+Modelo!$C$5*(LN(F58)-LN(F57))+Modelo!$C$6*(LN(H58)-LN(H57))+Modelo!$C$7*(LN(E58)-LN(E57))+Modelo!$C$8*(LN(G58)-LN(G57))+Modelo!$C$9*(LN(L58)-LN(L57))+Modelo!$C$10*(LN(C58)-LN(C57))+Modelo!$C$11*(LN(B58)-LN(B57))+Modelo!$C$11*(M58-M57)+ Modelo!$C$13)</f>
        <v>6.0571492879772402</v>
      </c>
      <c r="E58" s="8">
        <v>150</v>
      </c>
      <c r="F58" s="8">
        <v>550</v>
      </c>
      <c r="G58" s="8">
        <v>97</v>
      </c>
      <c r="H58" s="8">
        <v>19</v>
      </c>
      <c r="L58" s="29">
        <v>112</v>
      </c>
      <c r="M58" s="29">
        <f t="shared" si="3"/>
        <v>11.241434282097707</v>
      </c>
      <c r="T58" s="30"/>
    </row>
    <row r="59" spans="1:20" ht="14.5">
      <c r="A59" s="5">
        <v>46054</v>
      </c>
      <c r="B59" s="21">
        <f t="shared" si="4"/>
        <v>3.3936087463652238</v>
      </c>
      <c r="C59" s="25">
        <v>14.74</v>
      </c>
      <c r="D59" s="20">
        <f>EXP(LN(D58)+Modelo!$C$5*(LN(F59)-LN(F58))+Modelo!$C$6*(LN(H59)-LN(H58))+Modelo!$C$7*(LN(E59)-LN(E58))+Modelo!$C$8*(LN(G59)-LN(G58))+Modelo!$C$9*(LN(L59)-LN(L58))+Modelo!$C$10*(LN(C59)-LN(C58))+Modelo!$C$11*(LN(B59)-LN(B58))+Modelo!$C$11*(M59-M58)+ Modelo!$C$13)</f>
        <v>6.1453497235935624</v>
      </c>
      <c r="E59" s="8">
        <v>150</v>
      </c>
      <c r="F59" s="8">
        <v>550</v>
      </c>
      <c r="G59" s="8">
        <v>97</v>
      </c>
      <c r="H59" s="8">
        <v>19</v>
      </c>
      <c r="L59" s="29">
        <v>112</v>
      </c>
      <c r="M59" s="29">
        <f t="shared" si="3"/>
        <v>11.346391253634776</v>
      </c>
    </row>
    <row r="60" spans="1:20" ht="14.5">
      <c r="A60" s="5">
        <v>46082</v>
      </c>
      <c r="B60" s="21">
        <f t="shared" si="4"/>
        <v>3.2918004839742672</v>
      </c>
      <c r="C60" s="25">
        <v>14.74</v>
      </c>
      <c r="D60" s="20">
        <f>EXP(LN(D59)+Modelo!$C$5*(LN(F60)-LN(F59))+Modelo!$C$6*(LN(H60)-LN(H59))+Modelo!$C$7*(LN(E60)-LN(E59))+Modelo!$C$8*(LN(G60)-LN(G59))+Modelo!$C$9*(LN(L60)-LN(L59))+Modelo!$C$10*(LN(C60)-LN(C59))+Modelo!$C$11*(LN(B60)-LN(B59))+Modelo!$C$11*(M60-M59)+ Modelo!$C$13)</f>
        <v>6.2351893513760794</v>
      </c>
      <c r="E60" s="8">
        <v>150</v>
      </c>
      <c r="F60" s="8">
        <v>550</v>
      </c>
      <c r="G60" s="8">
        <v>97</v>
      </c>
      <c r="H60" s="8">
        <v>19</v>
      </c>
      <c r="L60" s="29">
        <v>112</v>
      </c>
      <c r="M60" s="29">
        <f t="shared" si="3"/>
        <v>11.448199516025733</v>
      </c>
    </row>
    <row r="61" spans="1:20" ht="14.5">
      <c r="A61" s="5">
        <v>46113</v>
      </c>
      <c r="B61" s="21">
        <f t="shared" si="4"/>
        <v>3.1930464694550391</v>
      </c>
      <c r="C61" s="25">
        <v>14.74</v>
      </c>
      <c r="D61" s="20">
        <f>EXP(LN(D60)+Modelo!$C$5*(LN(F61)-LN(F60))+Modelo!$C$6*(LN(H61)-LN(H60))+Modelo!$C$7*(LN(E61)-LN(E60))+Modelo!$C$8*(LN(G61)-LN(G60))+Modelo!$C$9*(LN(L61)-LN(L60))+Modelo!$C$10*(LN(C61)-LN(C60))+Modelo!$C$11*(LN(B61)-LN(B60))+Modelo!$C$11*(M61-M60)+ Modelo!$C$13)</f>
        <v>6.3266916338384132</v>
      </c>
      <c r="E61" s="8">
        <v>150</v>
      </c>
      <c r="F61" s="8">
        <v>550</v>
      </c>
      <c r="G61" s="8">
        <v>97</v>
      </c>
      <c r="H61" s="8">
        <v>19</v>
      </c>
      <c r="L61" s="29">
        <v>112</v>
      </c>
      <c r="M61" s="29">
        <f t="shared" si="3"/>
        <v>11.546953530544961</v>
      </c>
    </row>
    <row r="62" spans="1:20" ht="14.5">
      <c r="A62" s="5">
        <v>46143</v>
      </c>
      <c r="B62" s="21">
        <f t="shared" si="4"/>
        <v>3.0972550753713879</v>
      </c>
      <c r="C62" s="25">
        <v>14.74</v>
      </c>
      <c r="D62" s="20">
        <f>EXP(LN(D61)+Modelo!$C$5*(LN(F62)-LN(F61))+Modelo!$C$6*(LN(H62)-LN(H61))+Modelo!$C$7*(LN(E62)-LN(E61))+Modelo!$C$8*(LN(G62)-LN(G61))+Modelo!$C$9*(LN(L62)-LN(L61))+Modelo!$C$10*(LN(C62)-LN(C61))+Modelo!$C$11*(LN(B62)-LN(B61))+Modelo!$C$11*(M62-M61)+ Modelo!$C$13)</f>
        <v>6.4198805155265397</v>
      </c>
      <c r="E62" s="8">
        <v>150</v>
      </c>
      <c r="F62" s="8">
        <v>550</v>
      </c>
      <c r="G62" s="8">
        <v>97</v>
      </c>
      <c r="H62" s="8">
        <v>19</v>
      </c>
      <c r="L62" s="29">
        <v>112</v>
      </c>
      <c r="M62" s="29">
        <f t="shared" si="3"/>
        <v>11.642744924628612</v>
      </c>
    </row>
    <row r="63" spans="1:20" ht="14.5">
      <c r="A63" s="5">
        <v>46174</v>
      </c>
      <c r="B63" s="21">
        <f t="shared" si="4"/>
        <v>3.004337423110246</v>
      </c>
      <c r="C63" s="25">
        <v>14.74</v>
      </c>
      <c r="D63" s="20">
        <f>EXP(LN(D62)+Modelo!$C$5*(LN(F63)-LN(F62))+Modelo!$C$6*(LN(H63)-LN(H62))+Modelo!$C$7*(LN(E63)-LN(E62))+Modelo!$C$8*(LN(G63)-LN(G62))+Modelo!$C$9*(LN(L63)-LN(L62))+Modelo!$C$10*(LN(C63)-LN(C62))+Modelo!$C$11*(LN(B63)-LN(B62))+Modelo!$C$11*(M63-M62)+ Modelo!$C$13)</f>
        <v>6.5147804274524299</v>
      </c>
      <c r="E63" s="8">
        <v>150</v>
      </c>
      <c r="F63" s="8">
        <v>550</v>
      </c>
      <c r="G63" s="8">
        <v>97</v>
      </c>
      <c r="H63" s="8">
        <v>19</v>
      </c>
      <c r="L63" s="29">
        <v>112</v>
      </c>
      <c r="M63" s="29">
        <f t="shared" si="3"/>
        <v>11.735662576889755</v>
      </c>
    </row>
    <row r="64" spans="1:20" ht="14.5">
      <c r="A64" s="5">
        <v>46204</v>
      </c>
      <c r="B64" s="21">
        <f t="shared" si="4"/>
        <v>2.9142073004169387</v>
      </c>
      <c r="C64" s="25">
        <v>14.74</v>
      </c>
      <c r="D64" s="20">
        <f>EXP(LN(D63)+Modelo!$C$5*(LN(F64)-LN(F63))+Modelo!$C$6*(LN(H64)-LN(H63))+Modelo!$C$7*(LN(E64)-LN(E63))+Modelo!$C$8*(LN(G64)-LN(G63))+Modelo!$C$9*(LN(L64)-LN(L63))+Modelo!$C$10*(LN(C64)-LN(C63))+Modelo!$C$11*(LN(B64)-LN(B63))+Modelo!$C$11*(M64-M63)+ Modelo!$C$13)</f>
        <v>6.6114162917608015</v>
      </c>
      <c r="E64" s="8">
        <v>150</v>
      </c>
      <c r="F64" s="8">
        <v>550</v>
      </c>
      <c r="G64" s="8">
        <v>97</v>
      </c>
      <c r="H64" s="8">
        <v>19</v>
      </c>
      <c r="L64" s="29">
        <v>112</v>
      </c>
      <c r="M64" s="29">
        <f t="shared" si="3"/>
        <v>11.825792699583062</v>
      </c>
    </row>
    <row r="65" spans="1:13" ht="14.5">
      <c r="A65" s="5">
        <v>46235</v>
      </c>
      <c r="B65" s="21">
        <f t="shared" si="4"/>
        <v>2.8267810814044303</v>
      </c>
      <c r="C65" s="25">
        <v>14.74</v>
      </c>
      <c r="D65" s="20">
        <f>EXP(LN(D64)+Modelo!$C$5*(LN(F65)-LN(F64))+Modelo!$C$6*(LN(H65)-LN(H64))+Modelo!$C$7*(LN(E65)-LN(E64))+Modelo!$C$8*(LN(G65)-LN(G64))+Modelo!$C$9*(LN(L65)-LN(L64))+Modelo!$C$10*(LN(C65)-LN(C64))+Modelo!$C$11*(LN(B65)-LN(B64))+Modelo!$C$11*(M65-M64)+ Modelo!$C$13)</f>
        <v>6.7098135266245471</v>
      </c>
      <c r="E65" s="8">
        <v>150</v>
      </c>
      <c r="F65" s="8">
        <v>550</v>
      </c>
      <c r="G65" s="8">
        <v>97</v>
      </c>
      <c r="H65" s="8">
        <v>19</v>
      </c>
      <c r="L65" s="29">
        <v>112</v>
      </c>
      <c r="M65" s="29">
        <f t="shared" si="3"/>
        <v>11.91321891859557</v>
      </c>
    </row>
    <row r="66" spans="1:13" ht="14.5">
      <c r="A66" s="5">
        <v>46266</v>
      </c>
      <c r="B66" s="21">
        <f t="shared" si="4"/>
        <v>2.7419776489622971</v>
      </c>
      <c r="C66" s="25">
        <v>14.74</v>
      </c>
      <c r="D66" s="20">
        <f>EXP(LN(D65)+Modelo!$C$5*(LN(F66)-LN(F65))+Modelo!$C$6*(LN(H66)-LN(H65))+Modelo!$C$7*(LN(E66)-LN(E65))+Modelo!$C$8*(LN(G66)-LN(G65))+Modelo!$C$9*(LN(L66)-LN(L65))+Modelo!$C$10*(LN(C66)-LN(C65))+Modelo!$C$11*(LN(B66)-LN(B65))+Modelo!$C$11*(M66-M65)+ Modelo!$C$13)</f>
        <v>6.8099980513648122</v>
      </c>
      <c r="E66" s="8">
        <v>150</v>
      </c>
      <c r="F66" s="8">
        <v>550</v>
      </c>
      <c r="G66" s="8">
        <v>97</v>
      </c>
      <c r="H66" s="8">
        <v>19</v>
      </c>
      <c r="L66" s="29">
        <v>112</v>
      </c>
      <c r="M66" s="29">
        <f t="shared" si="3"/>
        <v>11.998022351037703</v>
      </c>
    </row>
    <row r="67" spans="1:13" ht="14.5">
      <c r="A67" s="5">
        <v>46296</v>
      </c>
      <c r="B67" s="21">
        <f t="shared" si="4"/>
        <v>2.659718319493428</v>
      </c>
      <c r="C67" s="25">
        <v>14.74</v>
      </c>
      <c r="D67" s="20">
        <f>EXP(LN(D66)+Modelo!$C$5*(LN(F67)-LN(F66))+Modelo!$C$6*(LN(H67)-LN(H66))+Modelo!$C$7*(LN(E67)-LN(E66))+Modelo!$C$8*(LN(G67)-LN(G66))+Modelo!$C$9*(LN(L67)-LN(L66))+Modelo!$C$10*(LN(C67)-LN(C66))+Modelo!$C$11*(LN(B67)-LN(B66))+Modelo!$C$11*(M67-M66)+ Modelo!$C$13)</f>
        <v>6.9119962917920716</v>
      </c>
      <c r="E67" s="8">
        <v>150</v>
      </c>
      <c r="F67" s="8">
        <v>550</v>
      </c>
      <c r="G67" s="8">
        <v>97</v>
      </c>
      <c r="H67" s="8">
        <v>19</v>
      </c>
      <c r="L67" s="29">
        <v>112</v>
      </c>
      <c r="M67" s="29">
        <f t="shared" si="3"/>
        <v>12.080281680506573</v>
      </c>
    </row>
    <row r="68" spans="1:13" ht="14.5">
      <c r="A68" s="5">
        <v>46327</v>
      </c>
      <c r="B68" s="21">
        <f t="shared" si="4"/>
        <v>2.5799267699086252</v>
      </c>
      <c r="C68" s="25">
        <v>14.74</v>
      </c>
      <c r="D68" s="20">
        <f>EXP(LN(D67)+Modelo!$C$5*(LN(F68)-LN(F67))+Modelo!$C$6*(LN(H68)-LN(H67))+Modelo!$C$7*(LN(E68)-LN(E67))+Modelo!$C$8*(LN(G68)-LN(G67))+Modelo!$C$9*(LN(L68)-LN(L67))+Modelo!$C$10*(LN(C68)-LN(C67))+Modelo!$C$11*(LN(B68)-LN(B67))+Modelo!$C$11*(M68-M67)+ Modelo!$C$13)</f>
        <v>7.0158351857648951</v>
      </c>
      <c r="E68" s="8">
        <v>150</v>
      </c>
      <c r="F68" s="8">
        <v>550</v>
      </c>
      <c r="G68" s="8">
        <v>97</v>
      </c>
      <c r="H68" s="8">
        <v>19</v>
      </c>
      <c r="L68" s="29">
        <v>112</v>
      </c>
      <c r="M68" s="29">
        <f t="shared" si="3"/>
        <v>12.160073230091374</v>
      </c>
    </row>
    <row r="69" spans="1:13" ht="14.5">
      <c r="A69" s="5">
        <v>46357</v>
      </c>
      <c r="B69" s="21">
        <f t="shared" si="4"/>
        <v>2.5025289668113664</v>
      </c>
      <c r="C69" s="25">
        <v>14.74</v>
      </c>
      <c r="D69" s="20">
        <f>EXP(LN(D68)+Modelo!$C$5*(LN(F69)-LN(F68))+Modelo!$C$6*(LN(H69)-LN(H68))+Modelo!$C$7*(LN(E69)-LN(E68))+Modelo!$C$8*(LN(G69)-LN(G68))+Modelo!$C$9*(LN(L69)-LN(L68))+Modelo!$C$10*(LN(C69)-LN(C68))+Modelo!$C$11*(LN(B69)-LN(B68))+Modelo!$C$11*(M69-M68)+ Modelo!$C$13)</f>
        <v>7.1215421889634483</v>
      </c>
      <c r="E69" s="8">
        <v>150</v>
      </c>
      <c r="F69" s="8">
        <v>550</v>
      </c>
      <c r="G69" s="8">
        <v>97</v>
      </c>
      <c r="H69" s="8">
        <v>19</v>
      </c>
      <c r="L69" s="29">
        <v>112</v>
      </c>
      <c r="M69" s="29">
        <f t="shared" si="3"/>
        <v>12.237471033188633</v>
      </c>
    </row>
    <row r="71" spans="1:13" ht="14.5">
      <c r="A71" s="5">
        <v>45809</v>
      </c>
      <c r="B71">
        <v>4.33</v>
      </c>
      <c r="C71" s="25">
        <v>14.74</v>
      </c>
      <c r="D71" s="8">
        <v>5.51</v>
      </c>
      <c r="E71" s="8">
        <f>156</f>
        <v>156</v>
      </c>
      <c r="F71" s="8">
        <v>561</v>
      </c>
      <c r="G71" s="8">
        <v>98.49</v>
      </c>
      <c r="H71" s="8">
        <v>20.21</v>
      </c>
      <c r="I71" s="7">
        <v>4.88</v>
      </c>
      <c r="J71" s="9">
        <v>3.1591</v>
      </c>
      <c r="K71" s="10">
        <v>-1.67</v>
      </c>
      <c r="L71" s="29">
        <v>112</v>
      </c>
      <c r="M71" s="29">
        <f>C71-B71</f>
        <v>10.41</v>
      </c>
    </row>
    <row r="72" spans="1:13" ht="14.5">
      <c r="A72" s="5">
        <v>45839</v>
      </c>
      <c r="B72" s="21">
        <v>4.33</v>
      </c>
      <c r="C72" s="25">
        <v>14.74</v>
      </c>
      <c r="D72" s="20">
        <f>EXP(LN(D71)+Modelo!$C$5*(LN(F72)-LN(F71))+Modelo!$C$6*(LN(H72)-LN(H71))+Modelo!$C$7*(LN(E72)-LN(E71))+Modelo!$C$8*(LN(G72)-LN(G71))+Modelo!$C$9*(LN(L72)-LN(L71))+Modelo!$C$11*(M72-M71)+ Modelo!$C$13+Modelo!$C$10*(LN(C72)-LN(C71))+Modelo!$C$11*(LN(B72)-LN(B71)))</f>
        <v>5.5977661880195555</v>
      </c>
      <c r="E72" s="8">
        <f>156</f>
        <v>156</v>
      </c>
      <c r="F72" s="8">
        <v>561</v>
      </c>
      <c r="G72" s="8">
        <v>98.49</v>
      </c>
      <c r="H72" s="8">
        <v>20.21</v>
      </c>
      <c r="L72" s="29">
        <v>112</v>
      </c>
      <c r="M72" s="29">
        <f t="shared" ref="M72:M89" si="5">C72-B72</f>
        <v>10.41</v>
      </c>
    </row>
    <row r="73" spans="1:13" ht="14.5">
      <c r="A73" s="5">
        <v>45870</v>
      </c>
      <c r="B73" s="21">
        <v>4.33</v>
      </c>
      <c r="C73" s="25">
        <v>14.74</v>
      </c>
      <c r="D73" s="20">
        <f>EXP(LN(D72)+Modelo!$C$5*(LN(F73)-LN(F72))+Modelo!$C$6*(LN(H73)-LN(H72))+Modelo!$C$7*(LN(E73)-LN(E72))+Modelo!$C$8*(LN(G73)-LN(G72))+Modelo!$C$9*(LN(L73)-LN(L72))+Modelo!$C$11*(M73-M72)+ Modelo!$C$13+Modelo!$C$10*(LN(C73)-LN(C72))+Modelo!$C$11*(LN(B73)-LN(B72)))</f>
        <v>5.6869303622023564</v>
      </c>
      <c r="E73" s="8">
        <f>156</f>
        <v>156</v>
      </c>
      <c r="F73" s="8">
        <v>561</v>
      </c>
      <c r="G73" s="8">
        <v>98.49</v>
      </c>
      <c r="H73" s="8">
        <v>20.21</v>
      </c>
      <c r="L73" s="29">
        <v>112</v>
      </c>
      <c r="M73" s="29">
        <f t="shared" si="5"/>
        <v>10.41</v>
      </c>
    </row>
    <row r="74" spans="1:13" ht="14.5">
      <c r="A74" s="5">
        <v>45901</v>
      </c>
      <c r="B74" s="21">
        <v>4.33</v>
      </c>
      <c r="C74" s="25">
        <v>14.74</v>
      </c>
      <c r="D74" s="20">
        <f>EXP(LN(D73)+Modelo!$C$5*(LN(F74)-LN(F73))+Modelo!$C$6*(LN(H74)-LN(H73))+Modelo!$C$7*(LN(E74)-LN(E73))+Modelo!$C$8*(LN(G74)-LN(G73))+Modelo!$C$9*(LN(L74)-LN(L73))+Modelo!$C$11*(M74-M73)+ Modelo!$C$13+Modelo!$C$10*(LN(C74)-LN(C73))+Modelo!$C$11*(LN(B74)-LN(B73)))</f>
        <v>5.7775147904098283</v>
      </c>
      <c r="E74" s="8">
        <f>156</f>
        <v>156</v>
      </c>
      <c r="F74" s="8">
        <v>561</v>
      </c>
      <c r="G74" s="8">
        <v>98.49</v>
      </c>
      <c r="H74" s="8">
        <v>20.21</v>
      </c>
      <c r="L74" s="29">
        <v>112</v>
      </c>
      <c r="M74" s="29">
        <f t="shared" si="5"/>
        <v>10.41</v>
      </c>
    </row>
    <row r="75" spans="1:13" ht="14.5">
      <c r="A75" s="5">
        <v>45931</v>
      </c>
      <c r="B75" s="21">
        <v>4.33</v>
      </c>
      <c r="C75" s="25">
        <v>14.74</v>
      </c>
      <c r="D75" s="20">
        <f>EXP(LN(D74)+Modelo!$C$5*(LN(F75)-LN(F74))+Modelo!$C$6*(LN(H75)-LN(H74))+Modelo!$C$7*(LN(E75)-LN(E74))+Modelo!$C$8*(LN(G75)-LN(G74))+Modelo!$C$9*(LN(L75)-LN(L74))+Modelo!$C$11*(M75-M74)+ Modelo!$C$13+Modelo!$C$10*(LN(C75)-LN(C74))+Modelo!$C$11*(LN(B75)-LN(B74)))</f>
        <v>5.8695420951976454</v>
      </c>
      <c r="E75" s="8">
        <f>156</f>
        <v>156</v>
      </c>
      <c r="F75" s="8">
        <v>561</v>
      </c>
      <c r="G75" s="8">
        <v>98.49</v>
      </c>
      <c r="H75" s="8">
        <v>20.21</v>
      </c>
      <c r="L75" s="29">
        <v>112</v>
      </c>
      <c r="M75" s="29">
        <f t="shared" si="5"/>
        <v>10.41</v>
      </c>
    </row>
    <row r="76" spans="1:13" ht="14.5">
      <c r="A76" s="5">
        <v>45962</v>
      </c>
      <c r="B76" s="21">
        <v>4.33</v>
      </c>
      <c r="C76" s="25">
        <v>14.74</v>
      </c>
      <c r="D76" s="20">
        <f>EXP(LN(D75)+Modelo!$C$5*(LN(F76)-LN(F75))+Modelo!$C$6*(LN(H76)-LN(H75))+Modelo!$C$7*(LN(E76)-LN(E75))+Modelo!$C$8*(LN(G76)-LN(G75))+Modelo!$C$9*(LN(L76)-LN(L75))+Modelo!$C$11*(M76-M75)+ Modelo!$C$13+Modelo!$C$10*(LN(C76)-LN(C75))+Modelo!$C$11*(LN(B76)-LN(B75)))</f>
        <v>5.9630352594654878</v>
      </c>
      <c r="E76" s="8">
        <f>156</f>
        <v>156</v>
      </c>
      <c r="F76" s="8">
        <v>561</v>
      </c>
      <c r="G76" s="8">
        <v>98.49</v>
      </c>
      <c r="H76" s="8">
        <v>20.21</v>
      </c>
      <c r="L76" s="29">
        <v>112</v>
      </c>
      <c r="M76" s="29">
        <f t="shared" si="5"/>
        <v>10.41</v>
      </c>
    </row>
    <row r="77" spans="1:13" ht="14.5">
      <c r="A77" s="5">
        <v>45992</v>
      </c>
      <c r="B77" s="21">
        <v>4.33</v>
      </c>
      <c r="C77" s="25">
        <v>14.74</v>
      </c>
      <c r="D77" s="20">
        <f>EXP(LN(D76)+Modelo!$C$5*(LN(F77)-LN(F76))+Modelo!$C$6*(LN(H77)-LN(H76))+Modelo!$C$7*(LN(E77)-LN(E76))+Modelo!$C$8*(LN(G77)-LN(G76))+Modelo!$C$9*(LN(L77)-LN(L76))+Modelo!$C$11*(M77-M76)+ Modelo!$C$13+Modelo!$C$10*(LN(C77)-LN(C76))+Modelo!$C$11*(LN(B77)-LN(B76)))</f>
        <v>6.0580176321967922</v>
      </c>
      <c r="E77" s="8">
        <f>156</f>
        <v>156</v>
      </c>
      <c r="F77" s="8">
        <v>561</v>
      </c>
      <c r="G77" s="8">
        <v>98.49</v>
      </c>
      <c r="H77" s="8">
        <v>20.21</v>
      </c>
      <c r="L77" s="29">
        <v>112</v>
      </c>
      <c r="M77" s="29">
        <f t="shared" si="5"/>
        <v>10.41</v>
      </c>
    </row>
    <row r="78" spans="1:13" ht="14.5">
      <c r="A78" s="5">
        <v>46023</v>
      </c>
      <c r="B78" s="21">
        <v>4.33</v>
      </c>
      <c r="C78" s="25">
        <v>14.74</v>
      </c>
      <c r="D78" s="20">
        <f>EXP(LN(D77)+Modelo!$C$5*(LN(F78)-LN(F77))+Modelo!$C$6*(LN(H78)-LN(H77))+Modelo!$C$7*(LN(E78)-LN(E77))+Modelo!$C$8*(LN(G78)-LN(G77))+Modelo!$C$9*(LN(L78)-LN(L77))+Modelo!$C$11*(M78-M77)+ Modelo!$C$13+Modelo!$C$10*(LN(C78)-LN(C77))+Modelo!$C$11*(LN(B78)-LN(B77)))</f>
        <v>6.1545129342899259</v>
      </c>
      <c r="E78" s="8">
        <f>156</f>
        <v>156</v>
      </c>
      <c r="F78" s="8">
        <v>561</v>
      </c>
      <c r="G78" s="8">
        <v>98.49</v>
      </c>
      <c r="H78" s="8">
        <v>20.21</v>
      </c>
      <c r="L78" s="29">
        <v>112</v>
      </c>
      <c r="M78" s="29">
        <f t="shared" si="5"/>
        <v>10.41</v>
      </c>
    </row>
    <row r="79" spans="1:13" ht="14.5">
      <c r="A79" s="5">
        <v>46054</v>
      </c>
      <c r="B79" s="21">
        <v>4.33</v>
      </c>
      <c r="C79" s="25">
        <v>14.74</v>
      </c>
      <c r="D79" s="20">
        <f>EXP(LN(D78)+Modelo!$C$5*(LN(F79)-LN(F78))+Modelo!$C$6*(LN(H79)-LN(H78))+Modelo!$C$7*(LN(E79)-LN(E78))+Modelo!$C$8*(LN(G79)-LN(G78))+Modelo!$C$9*(LN(L79)-LN(L78))+Modelo!$C$11*(M79-M78)+ Modelo!$C$13+Modelo!$C$10*(LN(C79)-LN(C78))+Modelo!$C$11*(LN(B79)-LN(B78)))</f>
        <v>6.2525452644822446</v>
      </c>
      <c r="E79" s="8">
        <f>156</f>
        <v>156</v>
      </c>
      <c r="F79" s="8">
        <v>561</v>
      </c>
      <c r="G79" s="8">
        <v>98.49</v>
      </c>
      <c r="H79" s="8">
        <v>20.21</v>
      </c>
      <c r="L79" s="29">
        <v>112</v>
      </c>
      <c r="M79" s="29">
        <f t="shared" si="5"/>
        <v>10.41</v>
      </c>
    </row>
    <row r="80" spans="1:13" ht="14.5">
      <c r="A80" s="5">
        <v>46082</v>
      </c>
      <c r="B80" s="21">
        <v>4.33</v>
      </c>
      <c r="C80" s="25">
        <v>14.74</v>
      </c>
      <c r="D80" s="20">
        <f>EXP(LN(D79)+Modelo!$C$5*(LN(F80)-LN(F79))+Modelo!$C$6*(LN(H80)-LN(H79))+Modelo!$C$7*(LN(E80)-LN(E79))+Modelo!$C$8*(LN(G80)-LN(G79))+Modelo!$C$9*(LN(L80)-LN(L79))+Modelo!$C$11*(M80-M79)+ Modelo!$C$13+Modelo!$C$10*(LN(C80)-LN(C79))+Modelo!$C$11*(LN(B80)-LN(B79)))</f>
        <v>6.3521391053685115</v>
      </c>
      <c r="E80" s="8">
        <f>156</f>
        <v>156</v>
      </c>
      <c r="F80" s="8">
        <v>561</v>
      </c>
      <c r="G80" s="8">
        <v>98.49</v>
      </c>
      <c r="H80" s="8">
        <v>20.21</v>
      </c>
      <c r="L80" s="29">
        <v>112</v>
      </c>
      <c r="M80" s="29">
        <f t="shared" si="5"/>
        <v>10.41</v>
      </c>
    </row>
    <row r="81" spans="1:13" ht="14.5">
      <c r="A81" s="5">
        <v>46113</v>
      </c>
      <c r="B81" s="21">
        <v>4.33</v>
      </c>
      <c r="C81" s="25">
        <v>14.74</v>
      </c>
      <c r="D81" s="20">
        <f>EXP(LN(D80)+Modelo!$C$5*(LN(F81)-LN(F80))+Modelo!$C$6*(LN(H81)-LN(H80))+Modelo!$C$7*(LN(E81)-LN(E80))+Modelo!$C$8*(LN(G81)-LN(G80))+Modelo!$C$9*(LN(L81)-LN(L80))+Modelo!$C$11*(M81-M80)+ Modelo!$C$13+Modelo!$C$10*(LN(C81)-LN(C80))+Modelo!$C$11*(LN(B81)-LN(B80)))</f>
        <v>6.4533193295151801</v>
      </c>
      <c r="E81" s="8">
        <f>156</f>
        <v>156</v>
      </c>
      <c r="F81" s="8">
        <v>561</v>
      </c>
      <c r="G81" s="8">
        <v>98.49</v>
      </c>
      <c r="H81" s="8">
        <v>20.21</v>
      </c>
      <c r="L81" s="29">
        <v>112</v>
      </c>
      <c r="M81" s="29">
        <f t="shared" si="5"/>
        <v>10.41</v>
      </c>
    </row>
    <row r="82" spans="1:13" ht="14.5">
      <c r="A82" s="5">
        <v>46143</v>
      </c>
      <c r="B82" s="21">
        <v>4.33</v>
      </c>
      <c r="C82" s="25">
        <v>14.74</v>
      </c>
      <c r="D82" s="20">
        <f>EXP(LN(D81)+Modelo!$C$5*(LN(F82)-LN(F81))+Modelo!$C$6*(LN(H82)-LN(H81))+Modelo!$C$7*(LN(E82)-LN(E81))+Modelo!$C$8*(LN(G82)-LN(G81))+Modelo!$C$9*(LN(L82)-LN(L81))+Modelo!$C$11*(M82-M81)+ Modelo!$C$13+Modelo!$C$10*(LN(C82)-LN(C81))+Modelo!$C$11*(LN(B82)-LN(B81)))</f>
        <v>6.5561112056720692</v>
      </c>
      <c r="E82" s="8">
        <f>156</f>
        <v>156</v>
      </c>
      <c r="F82" s="8">
        <v>561</v>
      </c>
      <c r="G82" s="8">
        <v>98.49</v>
      </c>
      <c r="H82" s="8">
        <v>20.21</v>
      </c>
      <c r="L82" s="29">
        <v>112</v>
      </c>
      <c r="M82" s="29">
        <f t="shared" si="5"/>
        <v>10.41</v>
      </c>
    </row>
    <row r="83" spans="1:13" ht="14.5">
      <c r="A83" s="5">
        <v>46174</v>
      </c>
      <c r="B83" s="21">
        <v>4.33</v>
      </c>
      <c r="C83" s="25">
        <v>14.74</v>
      </c>
      <c r="D83" s="20">
        <f>EXP(LN(D82)+Modelo!$C$5*(LN(F83)-LN(F82))+Modelo!$C$6*(LN(H83)-LN(H82))+Modelo!$C$7*(LN(E83)-LN(E82))+Modelo!$C$8*(LN(G83)-LN(G82))+Modelo!$C$9*(LN(L83)-LN(L82))+Modelo!$C$11*(M83-M82)+ Modelo!$C$13+Modelo!$C$10*(LN(C83)-LN(C82))+Modelo!$C$11*(LN(B83)-LN(B82)))</f>
        <v>6.6605404050829824</v>
      </c>
      <c r="E83" s="8">
        <f>156</f>
        <v>156</v>
      </c>
      <c r="F83" s="8">
        <v>561</v>
      </c>
      <c r="G83" s="8">
        <v>98.49</v>
      </c>
      <c r="H83" s="8">
        <v>20.21</v>
      </c>
      <c r="L83" s="29">
        <v>112</v>
      </c>
      <c r="M83" s="29">
        <f t="shared" si="5"/>
        <v>10.41</v>
      </c>
    </row>
    <row r="84" spans="1:13" ht="14.5">
      <c r="A84" s="5">
        <v>46204</v>
      </c>
      <c r="B84" s="21">
        <v>4.33</v>
      </c>
      <c r="C84" s="25">
        <v>14.74</v>
      </c>
      <c r="D84" s="20">
        <f>EXP(LN(D83)+Modelo!$C$5*(LN(F84)-LN(F83))+Modelo!$C$6*(LN(H84)-LN(H83))+Modelo!$C$7*(LN(E84)-LN(E83))+Modelo!$C$8*(LN(G84)-LN(G83))+Modelo!$C$9*(LN(L84)-LN(L83))+Modelo!$C$11*(M84-M83)+ Modelo!$C$13+Modelo!$C$10*(LN(C84)-LN(C83))+Modelo!$C$11*(LN(B84)-LN(B83)))</f>
        <v>6.7666330078968402</v>
      </c>
      <c r="E84" s="8">
        <f>156</f>
        <v>156</v>
      </c>
      <c r="F84" s="8">
        <v>561</v>
      </c>
      <c r="G84" s="8">
        <v>98.49</v>
      </c>
      <c r="H84" s="8">
        <v>20.21</v>
      </c>
      <c r="L84" s="29">
        <v>112</v>
      </c>
      <c r="M84" s="29">
        <f t="shared" si="5"/>
        <v>10.41</v>
      </c>
    </row>
    <row r="85" spans="1:13" ht="14.5">
      <c r="A85" s="5">
        <v>46235</v>
      </c>
      <c r="B85" s="21">
        <v>4.33</v>
      </c>
      <c r="C85" s="25">
        <v>14.74</v>
      </c>
      <c r="D85" s="20">
        <f>EXP(LN(D84)+Modelo!$C$5*(LN(F85)-LN(F84))+Modelo!$C$6*(LN(H85)-LN(H84))+Modelo!$C$7*(LN(E85)-LN(E84))+Modelo!$C$8*(LN(G85)-LN(G84))+Modelo!$C$9*(LN(L85)-LN(L84))+Modelo!$C$11*(M85-M84)+ Modelo!$C$13+Modelo!$C$10*(LN(C85)-LN(C84))+Modelo!$C$11*(LN(B85)-LN(B84)))</f>
        <v>6.8744155096809427</v>
      </c>
      <c r="E85" s="8">
        <f>156</f>
        <v>156</v>
      </c>
      <c r="F85" s="8">
        <v>561</v>
      </c>
      <c r="G85" s="8">
        <v>98.49</v>
      </c>
      <c r="H85" s="8">
        <v>20.21</v>
      </c>
      <c r="L85" s="29">
        <v>112</v>
      </c>
      <c r="M85" s="29">
        <f t="shared" si="5"/>
        <v>10.41</v>
      </c>
    </row>
    <row r="86" spans="1:13" ht="14.5">
      <c r="A86" s="5">
        <v>46266</v>
      </c>
      <c r="B86" s="21">
        <v>4.33</v>
      </c>
      <c r="C86" s="25">
        <v>14.74</v>
      </c>
      <c r="D86" s="20">
        <f>EXP(LN(D85)+Modelo!$C$5*(LN(F86)-LN(F85))+Modelo!$C$6*(LN(H86)-LN(H85))+Modelo!$C$7*(LN(E86)-LN(E85))+Modelo!$C$8*(LN(G86)-LN(G85))+Modelo!$C$9*(LN(L86)-LN(L85))+Modelo!$C$11*(M86-M85)+ Modelo!$C$13+Modelo!$C$10*(LN(C86)-LN(C85))+Modelo!$C$11*(LN(B86)-LN(B85)))</f>
        <v>6.9839148280379675</v>
      </c>
      <c r="E86" s="8">
        <f>156</f>
        <v>156</v>
      </c>
      <c r="F86" s="8">
        <v>561</v>
      </c>
      <c r="G86" s="8">
        <v>98.49</v>
      </c>
      <c r="H86" s="8">
        <v>20.21</v>
      </c>
      <c r="L86" s="29">
        <v>112</v>
      </c>
      <c r="M86" s="29">
        <f t="shared" si="5"/>
        <v>10.41</v>
      </c>
    </row>
    <row r="87" spans="1:13" ht="14.5">
      <c r="A87" s="5">
        <v>46296</v>
      </c>
      <c r="B87" s="21">
        <v>4.33</v>
      </c>
      <c r="C87" s="25">
        <v>14.74</v>
      </c>
      <c r="D87" s="20">
        <f>EXP(LN(D86)+Modelo!$C$5*(LN(F87)-LN(F86))+Modelo!$C$6*(LN(H87)-LN(H86))+Modelo!$C$7*(LN(E87)-LN(E86))+Modelo!$C$8*(LN(G87)-LN(G86))+Modelo!$C$9*(LN(L87)-LN(L86))+Modelo!$C$11*(M87-M86)+ Modelo!$C$13+Modelo!$C$10*(LN(C87)-LN(C86))+Modelo!$C$11*(LN(B87)-LN(B86)))</f>
        <v>7.0951583093283741</v>
      </c>
      <c r="E87" s="8">
        <f>156</f>
        <v>156</v>
      </c>
      <c r="F87" s="8">
        <v>561</v>
      </c>
      <c r="G87" s="8">
        <v>98.49</v>
      </c>
      <c r="H87" s="8">
        <v>20.21</v>
      </c>
      <c r="L87" s="29">
        <v>112</v>
      </c>
      <c r="M87" s="29">
        <f t="shared" si="5"/>
        <v>10.41</v>
      </c>
    </row>
    <row r="88" spans="1:13" ht="14.5">
      <c r="A88" s="5">
        <v>46327</v>
      </c>
      <c r="B88" s="21">
        <v>4.33</v>
      </c>
      <c r="C88" s="25">
        <v>14.74</v>
      </c>
      <c r="D88" s="20">
        <f>EXP(LN(D87)+Modelo!$C$5*(LN(F88)-LN(F87))+Modelo!$C$6*(LN(H88)-LN(H87))+Modelo!$C$7*(LN(E88)-LN(E87))+Modelo!$C$8*(LN(G88)-LN(G87))+Modelo!$C$9*(LN(L88)-LN(L87))+Modelo!$C$11*(M88-M87)+ Modelo!$C$13+Modelo!$C$10*(LN(C88)-LN(C87))+Modelo!$C$11*(LN(B88)-LN(B87)))</f>
        <v>7.2081737354998854</v>
      </c>
      <c r="E88" s="8">
        <f>156</f>
        <v>156</v>
      </c>
      <c r="F88" s="8">
        <v>561</v>
      </c>
      <c r="G88" s="8">
        <v>98.49</v>
      </c>
      <c r="H88" s="8">
        <v>20.21</v>
      </c>
      <c r="L88" s="29">
        <v>112</v>
      </c>
      <c r="M88" s="29">
        <f t="shared" si="5"/>
        <v>10.41</v>
      </c>
    </row>
    <row r="89" spans="1:13" ht="14.5">
      <c r="A89" s="5">
        <v>46357</v>
      </c>
      <c r="B89" s="21">
        <v>4.33</v>
      </c>
      <c r="C89" s="25">
        <v>14.74</v>
      </c>
      <c r="D89" s="20">
        <f>EXP(LN(D88)+Modelo!$C$5*(LN(F89)-LN(F88))+Modelo!$C$6*(LN(H89)-LN(H88))+Modelo!$C$7*(LN(E89)-LN(E88))+Modelo!$C$8*(LN(G89)-LN(G88))+Modelo!$C$9*(LN(L89)-LN(L88))+Modelo!$C$11*(M89-M88)+ Modelo!$C$13+Modelo!$C$10*(LN(C89)-LN(C88))+Modelo!$C$11*(LN(B89)-LN(B88)))</f>
        <v>7.3229893310257488</v>
      </c>
      <c r="E89" s="8">
        <f>156</f>
        <v>156</v>
      </c>
      <c r="F89" s="8">
        <v>561</v>
      </c>
      <c r="G89" s="8">
        <v>98.49</v>
      </c>
      <c r="H89" s="8">
        <v>20.21</v>
      </c>
      <c r="L89" s="29">
        <v>112</v>
      </c>
      <c r="M89" s="29">
        <f t="shared" si="5"/>
        <v>10.41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19F49-E17C-4CEC-B2DD-8F34FF2F444B}">
  <dimension ref="A1:T89"/>
  <sheetViews>
    <sheetView topLeftCell="A31" zoomScaleNormal="100" workbookViewId="0">
      <selection activeCell="W78" sqref="W78"/>
    </sheetView>
  </sheetViews>
  <sheetFormatPr defaultRowHeight="12.5"/>
  <cols>
    <col min="1" max="1" width="25.54296875" customWidth="1"/>
    <col min="4" max="4" width="22" customWidth="1"/>
  </cols>
  <sheetData>
    <row r="1" spans="1:13" ht="14.5">
      <c r="A1" s="1" t="s">
        <v>12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13</v>
      </c>
      <c r="M1" t="s">
        <v>14</v>
      </c>
    </row>
    <row r="2" spans="1:13" ht="14.5">
      <c r="A2" s="5">
        <v>44927</v>
      </c>
      <c r="B2" s="6">
        <v>4.33</v>
      </c>
      <c r="C2" s="24">
        <v>13.65</v>
      </c>
      <c r="D2" s="8">
        <v>5.08</v>
      </c>
      <c r="E2" s="8">
        <v>226</v>
      </c>
      <c r="F2" s="8">
        <v>557.02</v>
      </c>
      <c r="G2" s="8">
        <v>102</v>
      </c>
      <c r="H2" s="8">
        <v>18.7</v>
      </c>
      <c r="I2" s="7">
        <v>5.71</v>
      </c>
      <c r="J2" s="9">
        <v>6.4882999999999997</v>
      </c>
      <c r="K2" s="10">
        <v>0.21</v>
      </c>
      <c r="L2" s="26">
        <v>113.3</v>
      </c>
      <c r="M2" s="22">
        <f>C2-B2</f>
        <v>9.32</v>
      </c>
    </row>
    <row r="3" spans="1:13" ht="14.5">
      <c r="A3" s="5">
        <v>44958</v>
      </c>
      <c r="B3" s="6">
        <v>4.57</v>
      </c>
      <c r="C3" s="24">
        <v>13.65</v>
      </c>
      <c r="D3" s="8">
        <v>5.17</v>
      </c>
      <c r="E3" s="8">
        <v>228</v>
      </c>
      <c r="F3" s="8">
        <v>548.53</v>
      </c>
      <c r="G3" s="8">
        <v>101</v>
      </c>
      <c r="H3" s="8">
        <v>25</v>
      </c>
      <c r="I3" s="7">
        <v>5.77</v>
      </c>
      <c r="J3" s="9">
        <v>6.5266000000000002</v>
      </c>
      <c r="K3" s="10">
        <v>-0.06</v>
      </c>
      <c r="L3" s="27">
        <v>111.7</v>
      </c>
      <c r="M3" s="22">
        <f t="shared" ref="M3:M49" si="0">C3-B3</f>
        <v>9.08</v>
      </c>
    </row>
    <row r="4" spans="1:13" ht="14.5">
      <c r="A4" s="5">
        <v>44986</v>
      </c>
      <c r="B4" s="6">
        <v>4.6500000000000004</v>
      </c>
      <c r="C4" s="24">
        <v>13.65</v>
      </c>
      <c r="D4" s="8">
        <v>5.0599999999999996</v>
      </c>
      <c r="E4" s="8">
        <v>225</v>
      </c>
      <c r="F4" s="8">
        <v>550.63</v>
      </c>
      <c r="G4" s="8">
        <v>101.7</v>
      </c>
      <c r="H4" s="8">
        <v>17</v>
      </c>
      <c r="I4" s="7">
        <v>5.55</v>
      </c>
      <c r="J4" s="9">
        <v>6.3906000000000001</v>
      </c>
      <c r="K4" s="10">
        <v>0.05</v>
      </c>
      <c r="L4" s="27">
        <v>116.7</v>
      </c>
      <c r="M4" s="22">
        <f t="shared" si="0"/>
        <v>9</v>
      </c>
    </row>
    <row r="5" spans="1:13" ht="14.5">
      <c r="A5" s="5">
        <v>45017</v>
      </c>
      <c r="B5" s="6">
        <v>4.83</v>
      </c>
      <c r="C5" s="24">
        <v>13.65</v>
      </c>
      <c r="D5" s="8">
        <v>4.9800000000000004</v>
      </c>
      <c r="E5" s="8">
        <v>220</v>
      </c>
      <c r="F5" s="8">
        <v>547.45000000000005</v>
      </c>
      <c r="G5" s="8">
        <v>102</v>
      </c>
      <c r="H5" s="8">
        <v>17</v>
      </c>
      <c r="I5" s="7">
        <v>5.28</v>
      </c>
      <c r="J5" s="9">
        <v>6.2676999999999996</v>
      </c>
      <c r="K5" s="10">
        <v>-0.95</v>
      </c>
      <c r="L5" s="28">
        <v>112.6</v>
      </c>
      <c r="M5" s="22">
        <f t="shared" si="0"/>
        <v>8.82</v>
      </c>
    </row>
    <row r="6" spans="1:13" ht="14.5">
      <c r="A6" s="5">
        <v>45047</v>
      </c>
      <c r="B6" s="6">
        <v>5.0599999999999996</v>
      </c>
      <c r="C6" s="24">
        <v>13.65</v>
      </c>
      <c r="D6" s="8">
        <v>4.9800000000000004</v>
      </c>
      <c r="E6" s="8">
        <v>206</v>
      </c>
      <c r="F6" s="8">
        <v>541.45000000000005</v>
      </c>
      <c r="G6" s="8">
        <v>104.2</v>
      </c>
      <c r="H6" s="8">
        <v>16.899999999999999</v>
      </c>
      <c r="I6" s="7">
        <v>4.6900000000000004</v>
      </c>
      <c r="J6" s="9">
        <v>5.9789000000000003</v>
      </c>
      <c r="K6" s="10">
        <v>-1.84</v>
      </c>
      <c r="L6" s="28">
        <v>111.8</v>
      </c>
      <c r="M6" s="22">
        <f t="shared" si="0"/>
        <v>8.59</v>
      </c>
    </row>
    <row r="7" spans="1:13" ht="14.5">
      <c r="A7" s="5">
        <v>45078</v>
      </c>
      <c r="B7" s="6">
        <v>5.08</v>
      </c>
      <c r="C7" s="24">
        <v>13.65</v>
      </c>
      <c r="D7" s="8">
        <v>4.83</v>
      </c>
      <c r="E7" s="8">
        <v>177</v>
      </c>
      <c r="F7" s="8">
        <v>547.83000000000004</v>
      </c>
      <c r="G7" s="8">
        <v>103</v>
      </c>
      <c r="H7" s="8">
        <v>16</v>
      </c>
      <c r="I7" s="7">
        <v>3.99</v>
      </c>
      <c r="J7" s="9">
        <v>5.5888</v>
      </c>
      <c r="K7" s="10">
        <v>-1.93</v>
      </c>
      <c r="L7" s="27">
        <v>107.6</v>
      </c>
      <c r="M7" s="22">
        <f t="shared" si="0"/>
        <v>8.57</v>
      </c>
    </row>
    <row r="8" spans="1:13" ht="14.5">
      <c r="A8" s="5">
        <v>45108</v>
      </c>
      <c r="B8" s="6">
        <v>5.12</v>
      </c>
      <c r="C8" s="24">
        <v>13.65</v>
      </c>
      <c r="D8" s="8">
        <v>4.71</v>
      </c>
      <c r="E8" s="8">
        <v>162</v>
      </c>
      <c r="F8" s="8">
        <v>563.85</v>
      </c>
      <c r="G8" s="8">
        <v>102</v>
      </c>
      <c r="H8" s="8">
        <v>14.8</v>
      </c>
      <c r="I8" s="7">
        <v>4.09</v>
      </c>
      <c r="J8" s="9">
        <v>5.4028999999999998</v>
      </c>
      <c r="K8" s="10">
        <v>-0.72</v>
      </c>
      <c r="L8" s="27">
        <v>103.5</v>
      </c>
      <c r="M8" s="22">
        <f t="shared" si="0"/>
        <v>8.5300000000000011</v>
      </c>
    </row>
    <row r="9" spans="1:13" ht="14.5">
      <c r="A9" s="5">
        <v>45139</v>
      </c>
      <c r="B9" s="6">
        <v>5.33</v>
      </c>
      <c r="C9" s="24">
        <v>13.19</v>
      </c>
      <c r="D9" s="8">
        <v>4.8899999999999997</v>
      </c>
      <c r="E9" s="8">
        <v>166</v>
      </c>
      <c r="F9" s="8">
        <v>552.84</v>
      </c>
      <c r="G9" s="8">
        <v>105</v>
      </c>
      <c r="H9" s="8">
        <v>13.8</v>
      </c>
      <c r="I9" s="7">
        <v>4.22</v>
      </c>
      <c r="J9" s="9">
        <v>5.1696999999999997</v>
      </c>
      <c r="K9" s="10">
        <v>-0.14000000000000001</v>
      </c>
      <c r="L9" s="27">
        <v>108.5</v>
      </c>
      <c r="M9" s="22">
        <f t="shared" si="0"/>
        <v>7.8599999999999994</v>
      </c>
    </row>
    <row r="10" spans="1:13" ht="14.5">
      <c r="A10" s="5">
        <v>45170</v>
      </c>
      <c r="B10" s="6">
        <v>5.33</v>
      </c>
      <c r="C10" s="24">
        <v>12.97</v>
      </c>
      <c r="D10" s="8">
        <v>5.05</v>
      </c>
      <c r="E10" s="8">
        <v>186</v>
      </c>
      <c r="F10" s="8">
        <v>548.55999999999995</v>
      </c>
      <c r="G10" s="8">
        <v>106.6</v>
      </c>
      <c r="H10" s="8">
        <v>19</v>
      </c>
      <c r="I10" s="7">
        <v>4.1100000000000003</v>
      </c>
      <c r="J10" s="9">
        <v>4.9554</v>
      </c>
      <c r="K10" s="10">
        <v>0.37</v>
      </c>
      <c r="L10" s="27">
        <v>106.8</v>
      </c>
      <c r="M10" s="22">
        <f t="shared" si="0"/>
        <v>7.6400000000000006</v>
      </c>
    </row>
    <row r="11" spans="1:13" ht="14.5">
      <c r="A11" s="5">
        <v>45200</v>
      </c>
      <c r="B11" s="6">
        <v>5.33</v>
      </c>
      <c r="C11" s="24">
        <v>12.65</v>
      </c>
      <c r="D11" s="8">
        <v>5</v>
      </c>
      <c r="E11" s="8">
        <v>183</v>
      </c>
      <c r="F11" s="8">
        <v>539.51</v>
      </c>
      <c r="G11" s="8">
        <v>105.8</v>
      </c>
      <c r="H11" s="8">
        <v>14.7</v>
      </c>
      <c r="I11" s="7">
        <v>3.92</v>
      </c>
      <c r="J11" s="9">
        <v>4.8826999999999998</v>
      </c>
      <c r="K11" s="10">
        <v>0.5</v>
      </c>
      <c r="L11" s="27">
        <v>110.9</v>
      </c>
      <c r="M11" s="22">
        <f t="shared" si="0"/>
        <v>7.32</v>
      </c>
    </row>
    <row r="12" spans="1:13" ht="14.5">
      <c r="A12" s="5">
        <v>45231</v>
      </c>
      <c r="B12" s="6">
        <v>5.33</v>
      </c>
      <c r="C12" s="24">
        <v>12.17</v>
      </c>
      <c r="D12" s="8">
        <v>4.9000000000000004</v>
      </c>
      <c r="E12" s="8">
        <v>146</v>
      </c>
      <c r="F12" s="8">
        <v>529.9</v>
      </c>
      <c r="G12" s="8">
        <v>104</v>
      </c>
      <c r="H12" s="8">
        <v>12.3</v>
      </c>
      <c r="I12" s="7">
        <v>3.92</v>
      </c>
      <c r="J12" s="9">
        <v>4.6913</v>
      </c>
      <c r="K12" s="10">
        <v>0.59</v>
      </c>
      <c r="L12" s="27">
        <v>110.4</v>
      </c>
      <c r="M12" s="22">
        <f t="shared" si="0"/>
        <v>6.84</v>
      </c>
    </row>
    <row r="13" spans="1:13" ht="14.5">
      <c r="A13" s="5">
        <v>45261</v>
      </c>
      <c r="B13" s="6">
        <v>5.33</v>
      </c>
      <c r="C13" s="24">
        <v>11.87</v>
      </c>
      <c r="D13" s="8">
        <v>4.8499999999999996</v>
      </c>
      <c r="E13" s="8">
        <v>131</v>
      </c>
      <c r="F13" s="8">
        <v>510.32</v>
      </c>
      <c r="G13" s="8">
        <v>102.4</v>
      </c>
      <c r="H13" s="8">
        <v>12.7</v>
      </c>
      <c r="I13" s="7">
        <v>3.81</v>
      </c>
      <c r="J13" s="9">
        <v>4.5576999999999996</v>
      </c>
      <c r="K13" s="10">
        <v>0.74</v>
      </c>
      <c r="L13" s="27">
        <v>107</v>
      </c>
      <c r="M13" s="22">
        <f t="shared" si="0"/>
        <v>6.5399999999999991</v>
      </c>
    </row>
    <row r="14" spans="1:13" ht="14.5">
      <c r="A14" s="5">
        <v>45292</v>
      </c>
      <c r="B14" s="6">
        <v>5.33</v>
      </c>
      <c r="C14" s="24">
        <v>11.65</v>
      </c>
      <c r="D14" s="8">
        <v>4.95</v>
      </c>
      <c r="E14" s="8">
        <v>139</v>
      </c>
      <c r="F14" s="8">
        <v>521.47</v>
      </c>
      <c r="G14" s="8">
        <v>103.5</v>
      </c>
      <c r="H14" s="8">
        <v>12.9</v>
      </c>
      <c r="I14" s="7">
        <v>3.8</v>
      </c>
      <c r="J14" s="9">
        <v>4.6013000000000002</v>
      </c>
      <c r="K14" s="10">
        <v>7.0000000000000007E-2</v>
      </c>
      <c r="L14" s="27">
        <v>109.1</v>
      </c>
      <c r="M14" s="22">
        <f t="shared" si="0"/>
        <v>6.32</v>
      </c>
    </row>
    <row r="15" spans="1:13" ht="14.5">
      <c r="A15" s="5">
        <v>45323</v>
      </c>
      <c r="B15" s="6">
        <v>5.33</v>
      </c>
      <c r="C15" s="24">
        <v>11.15</v>
      </c>
      <c r="D15" s="8">
        <v>4.97</v>
      </c>
      <c r="E15" s="8">
        <v>124</v>
      </c>
      <c r="F15" s="8">
        <v>524.42999999999995</v>
      </c>
      <c r="G15" s="8">
        <v>103.8</v>
      </c>
      <c r="H15" s="8">
        <v>13.11</v>
      </c>
      <c r="I15" s="7">
        <v>3.75</v>
      </c>
      <c r="J15" s="9">
        <v>4.4001000000000001</v>
      </c>
      <c r="K15" s="10">
        <v>-0.52</v>
      </c>
      <c r="L15" s="27">
        <v>104.5</v>
      </c>
      <c r="M15" s="22">
        <f t="shared" si="0"/>
        <v>5.82</v>
      </c>
    </row>
    <row r="16" spans="1:13" ht="14.5">
      <c r="A16" s="5">
        <v>45352</v>
      </c>
      <c r="B16" s="6">
        <v>5.33</v>
      </c>
      <c r="C16" s="24">
        <v>11</v>
      </c>
      <c r="D16" s="8">
        <v>5.05</v>
      </c>
      <c r="E16" s="8">
        <v>138</v>
      </c>
      <c r="F16" s="8">
        <v>536.35</v>
      </c>
      <c r="G16" s="8">
        <v>105.2</v>
      </c>
      <c r="H16" s="8">
        <v>13.6</v>
      </c>
      <c r="I16" s="7">
        <v>3.39</v>
      </c>
      <c r="J16" s="9">
        <v>4.5027999999999997</v>
      </c>
      <c r="K16" s="10">
        <v>-0.47</v>
      </c>
      <c r="L16" s="27">
        <v>103.8</v>
      </c>
      <c r="M16" s="22">
        <f t="shared" si="0"/>
        <v>5.67</v>
      </c>
    </row>
    <row r="17" spans="1:16" ht="14.5">
      <c r="A17" s="5">
        <v>45383</v>
      </c>
      <c r="B17" s="6">
        <v>5.33</v>
      </c>
      <c r="C17" s="24">
        <v>10.65</v>
      </c>
      <c r="D17" s="8">
        <v>5.19</v>
      </c>
      <c r="E17" s="8">
        <v>149</v>
      </c>
      <c r="F17" s="8">
        <v>546.16999999999996</v>
      </c>
      <c r="G17" s="8">
        <v>105.7</v>
      </c>
      <c r="H17" s="8">
        <v>12.5</v>
      </c>
      <c r="I17" s="7">
        <v>3.58</v>
      </c>
      <c r="J17" s="9">
        <v>4.4036</v>
      </c>
      <c r="K17" s="10">
        <v>0.31</v>
      </c>
      <c r="L17" s="27">
        <v>106.5</v>
      </c>
      <c r="M17" s="22">
        <f t="shared" si="0"/>
        <v>5.32</v>
      </c>
    </row>
    <row r="18" spans="1:16" ht="14.5">
      <c r="A18" s="5">
        <v>45413</v>
      </c>
      <c r="B18" s="6">
        <v>5.33</v>
      </c>
      <c r="C18" s="24">
        <v>10.46</v>
      </c>
      <c r="D18" s="8">
        <v>5.34</v>
      </c>
      <c r="E18" s="8">
        <v>158</v>
      </c>
      <c r="F18" s="8">
        <v>546.16999999999996</v>
      </c>
      <c r="G18" s="8">
        <v>105</v>
      </c>
      <c r="H18" s="8">
        <v>12.25</v>
      </c>
      <c r="I18" s="7">
        <v>3.71</v>
      </c>
      <c r="J18" s="9">
        <v>4.3000999999999996</v>
      </c>
      <c r="K18" s="10">
        <v>0.89</v>
      </c>
      <c r="L18" s="27">
        <v>112.9</v>
      </c>
      <c r="M18" s="22">
        <f t="shared" si="0"/>
        <v>5.1300000000000008</v>
      </c>
    </row>
    <row r="19" spans="1:16" ht="14.5">
      <c r="A19" s="5">
        <v>45444</v>
      </c>
      <c r="B19" s="6">
        <v>5.33</v>
      </c>
      <c r="C19" s="24">
        <v>10.4</v>
      </c>
      <c r="D19" s="8">
        <v>5.42</v>
      </c>
      <c r="E19" s="8">
        <v>145</v>
      </c>
      <c r="F19" s="8">
        <v>539.30999999999995</v>
      </c>
      <c r="G19" s="8">
        <v>104</v>
      </c>
      <c r="H19" s="8">
        <v>12.46</v>
      </c>
      <c r="I19" s="7">
        <v>3.7</v>
      </c>
      <c r="J19" s="9">
        <v>4.2347000000000001</v>
      </c>
      <c r="K19" s="10">
        <v>0.81</v>
      </c>
      <c r="L19" s="27">
        <v>110.6</v>
      </c>
      <c r="M19" s="22">
        <f t="shared" si="0"/>
        <v>5.07</v>
      </c>
    </row>
    <row r="20" spans="1:16" ht="14.5">
      <c r="A20" s="5">
        <v>45474</v>
      </c>
      <c r="B20" s="6">
        <v>5.33</v>
      </c>
      <c r="C20" s="24">
        <v>10.4</v>
      </c>
      <c r="D20" s="8">
        <v>5.5</v>
      </c>
      <c r="E20" s="8">
        <v>163</v>
      </c>
      <c r="F20" s="8">
        <v>535.21</v>
      </c>
      <c r="G20" s="8">
        <v>103</v>
      </c>
      <c r="H20" s="8">
        <v>20.36</v>
      </c>
      <c r="I20" s="7">
        <v>3.84</v>
      </c>
      <c r="J20" s="9">
        <v>4.1797000000000004</v>
      </c>
      <c r="K20" s="10">
        <v>0.61</v>
      </c>
      <c r="L20" s="27">
        <v>110.3</v>
      </c>
      <c r="M20" s="22">
        <f t="shared" si="0"/>
        <v>5.07</v>
      </c>
    </row>
    <row r="21" spans="1:16" ht="14.5">
      <c r="A21" s="5">
        <v>45505</v>
      </c>
      <c r="B21" s="6">
        <v>5.33</v>
      </c>
      <c r="C21" s="24">
        <v>10.4</v>
      </c>
      <c r="D21" s="8">
        <v>5.56</v>
      </c>
      <c r="E21" s="8">
        <v>152</v>
      </c>
      <c r="F21" s="8">
        <v>536.35</v>
      </c>
      <c r="G21" s="8">
        <v>101</v>
      </c>
      <c r="H21" s="8">
        <v>16</v>
      </c>
      <c r="I21" s="7">
        <v>3.79</v>
      </c>
      <c r="J21" s="9">
        <v>4.1120999999999999</v>
      </c>
      <c r="K21" s="10">
        <v>0.28999999999999998</v>
      </c>
      <c r="L21" s="27">
        <v>107.8</v>
      </c>
      <c r="M21" s="22">
        <f t="shared" si="0"/>
        <v>5.07</v>
      </c>
    </row>
    <row r="22" spans="1:16" ht="14.5">
      <c r="A22" s="5">
        <v>45536</v>
      </c>
      <c r="B22" s="6">
        <v>5.13</v>
      </c>
      <c r="C22" s="24">
        <v>10.5</v>
      </c>
      <c r="D22" s="8">
        <v>5.61</v>
      </c>
      <c r="E22" s="8">
        <v>153</v>
      </c>
      <c r="F22" s="8">
        <v>540.27</v>
      </c>
      <c r="G22" s="8">
        <v>103</v>
      </c>
      <c r="H22" s="8">
        <v>20</v>
      </c>
      <c r="I22" s="7">
        <v>4.13</v>
      </c>
      <c r="J22" s="9">
        <v>4.0126999999999997</v>
      </c>
      <c r="K22" s="10">
        <v>0.62</v>
      </c>
      <c r="L22" s="27">
        <v>107.8</v>
      </c>
      <c r="M22" s="22">
        <f t="shared" si="0"/>
        <v>5.37</v>
      </c>
    </row>
    <row r="23" spans="1:16" ht="14.5">
      <c r="A23" s="5">
        <v>45566</v>
      </c>
      <c r="B23" s="6">
        <v>4.83</v>
      </c>
      <c r="C23" s="24">
        <v>10.65</v>
      </c>
      <c r="D23" s="8">
        <v>5.7</v>
      </c>
      <c r="E23" s="8">
        <v>157</v>
      </c>
      <c r="F23" s="8">
        <v>534.44000000000005</v>
      </c>
      <c r="G23" s="8">
        <v>105</v>
      </c>
      <c r="H23" s="8">
        <v>21</v>
      </c>
      <c r="I23" s="7">
        <v>4.1900000000000004</v>
      </c>
      <c r="J23" s="9">
        <v>3.9634</v>
      </c>
      <c r="K23" s="10">
        <v>1.52</v>
      </c>
      <c r="L23" s="27">
        <v>104.8</v>
      </c>
      <c r="M23" s="22">
        <f t="shared" si="0"/>
        <v>5.82</v>
      </c>
    </row>
    <row r="24" spans="1:16" ht="14.5">
      <c r="A24" s="5">
        <v>45597</v>
      </c>
      <c r="B24" s="6">
        <v>4.6399999999999997</v>
      </c>
      <c r="C24" s="24">
        <v>11.04</v>
      </c>
      <c r="D24" s="8">
        <v>6</v>
      </c>
      <c r="E24" s="8">
        <v>161</v>
      </c>
      <c r="F24" s="8">
        <v>535.74</v>
      </c>
      <c r="G24" s="8">
        <v>105</v>
      </c>
      <c r="H24" s="8">
        <v>13</v>
      </c>
      <c r="I24" s="7">
        <v>4.45</v>
      </c>
      <c r="J24" s="9">
        <v>3.8761999999999999</v>
      </c>
      <c r="K24" s="10">
        <v>1.3</v>
      </c>
      <c r="L24" s="27">
        <v>110.4</v>
      </c>
      <c r="M24" s="22">
        <f t="shared" si="0"/>
        <v>6.3999999999999995</v>
      </c>
    </row>
    <row r="25" spans="1:16" ht="14.5">
      <c r="A25" s="5">
        <v>45627</v>
      </c>
      <c r="B25" s="6">
        <v>4.4800000000000004</v>
      </c>
      <c r="C25" s="24">
        <v>11.77</v>
      </c>
      <c r="D25" s="8">
        <v>6.17</v>
      </c>
      <c r="E25" s="8">
        <v>214</v>
      </c>
      <c r="F25" s="8">
        <v>536.5</v>
      </c>
      <c r="G25" s="8">
        <v>108</v>
      </c>
      <c r="H25" s="8">
        <v>17</v>
      </c>
      <c r="I25" s="7">
        <v>4.99</v>
      </c>
      <c r="J25" s="9">
        <v>3.7465999999999999</v>
      </c>
      <c r="K25" s="10">
        <v>0.94</v>
      </c>
      <c r="L25" s="27">
        <v>115.4</v>
      </c>
      <c r="M25" s="22">
        <f t="shared" si="0"/>
        <v>7.2899999999999991</v>
      </c>
    </row>
    <row r="26" spans="1:16" ht="14.5">
      <c r="A26" s="5">
        <v>45658</v>
      </c>
      <c r="B26" s="6">
        <v>4.33</v>
      </c>
      <c r="C26" s="24">
        <v>12.24</v>
      </c>
      <c r="D26" s="8">
        <v>5.84</v>
      </c>
      <c r="E26" s="8">
        <v>177</v>
      </c>
      <c r="F26" s="8">
        <v>541.96</v>
      </c>
      <c r="G26" s="8">
        <v>108</v>
      </c>
      <c r="H26" s="8">
        <v>16</v>
      </c>
      <c r="I26" s="7">
        <v>5.47</v>
      </c>
      <c r="J26" s="9">
        <v>3.6253000000000002</v>
      </c>
      <c r="K26" s="10">
        <v>0.27</v>
      </c>
      <c r="L26" s="27">
        <v>116.9</v>
      </c>
      <c r="M26" s="22">
        <f t="shared" si="0"/>
        <v>7.91</v>
      </c>
    </row>
    <row r="27" spans="1:16" ht="14.5">
      <c r="A27" s="5">
        <v>45689</v>
      </c>
      <c r="B27" s="6">
        <v>4.33</v>
      </c>
      <c r="C27" s="24">
        <v>13.15</v>
      </c>
      <c r="D27" s="8">
        <v>5.88</v>
      </c>
      <c r="E27" s="8">
        <v>176</v>
      </c>
      <c r="F27" s="8">
        <v>539.22</v>
      </c>
      <c r="G27" s="8">
        <v>107.61</v>
      </c>
      <c r="H27" s="8">
        <v>19.63</v>
      </c>
      <c r="I27" s="7">
        <v>5.89</v>
      </c>
      <c r="J27" s="9">
        <v>3.5165000000000002</v>
      </c>
      <c r="K27" s="10">
        <v>1.06</v>
      </c>
      <c r="L27" s="27">
        <v>110.8</v>
      </c>
      <c r="M27" s="22">
        <f t="shared" si="0"/>
        <v>8.82</v>
      </c>
    </row>
    <row r="28" spans="1:16" ht="14.5">
      <c r="A28" s="5">
        <v>45717</v>
      </c>
      <c r="B28" s="6">
        <v>4.33</v>
      </c>
      <c r="C28" s="24">
        <v>13.57</v>
      </c>
      <c r="D28" s="8">
        <v>5.68</v>
      </c>
      <c r="E28" s="8">
        <v>182</v>
      </c>
      <c r="F28" s="8">
        <v>547.11</v>
      </c>
      <c r="G28" s="8">
        <v>104.26</v>
      </c>
      <c r="H28" s="8">
        <v>21.27</v>
      </c>
      <c r="I28" s="7">
        <v>5.2</v>
      </c>
      <c r="J28" s="9">
        <v>3.2578</v>
      </c>
      <c r="K28" s="10">
        <v>-0.34</v>
      </c>
      <c r="L28" s="27">
        <v>110.9</v>
      </c>
      <c r="M28" s="22">
        <f t="shared" si="0"/>
        <v>9.24</v>
      </c>
    </row>
    <row r="29" spans="1:16" ht="14.5">
      <c r="A29" s="5">
        <v>45748</v>
      </c>
      <c r="B29" s="6">
        <v>4.33</v>
      </c>
      <c r="C29" s="24">
        <v>14.15</v>
      </c>
      <c r="D29" s="8">
        <v>5.67</v>
      </c>
      <c r="E29" s="8">
        <v>182</v>
      </c>
      <c r="F29" s="8">
        <v>547.6</v>
      </c>
      <c r="G29" s="8">
        <v>100</v>
      </c>
      <c r="H29" s="8">
        <v>24.6</v>
      </c>
      <c r="I29" s="7">
        <v>4.95</v>
      </c>
      <c r="J29" s="9">
        <v>3.1766999999999999</v>
      </c>
      <c r="K29" s="10">
        <v>0.24</v>
      </c>
      <c r="L29" s="27">
        <v>115.5</v>
      </c>
      <c r="M29" s="22">
        <f t="shared" si="0"/>
        <v>9.82</v>
      </c>
    </row>
    <row r="30" spans="1:16" ht="14.5">
      <c r="A30" s="5">
        <v>45778</v>
      </c>
      <c r="B30" s="6">
        <v>4.33</v>
      </c>
      <c r="C30" s="24">
        <v>14.55</v>
      </c>
      <c r="D30" s="8">
        <v>5.72</v>
      </c>
      <c r="E30" s="8">
        <v>160</v>
      </c>
      <c r="F30" s="8">
        <v>555.02</v>
      </c>
      <c r="G30" s="8">
        <v>99</v>
      </c>
      <c r="H30" s="8">
        <v>18.57</v>
      </c>
      <c r="I30" s="7">
        <v>4.8600000000000003</v>
      </c>
      <c r="J30" s="9">
        <v>3.1591</v>
      </c>
      <c r="K30" s="10">
        <v>-0.49</v>
      </c>
      <c r="L30" s="27">
        <v>112.8</v>
      </c>
      <c r="M30" s="22">
        <f t="shared" si="0"/>
        <v>10.220000000000001</v>
      </c>
    </row>
    <row r="31" spans="1:16" ht="14.5">
      <c r="A31" s="5">
        <v>45809</v>
      </c>
      <c r="B31" s="6">
        <v>4.33</v>
      </c>
      <c r="C31" s="25">
        <v>14.74</v>
      </c>
      <c r="D31" s="8">
        <v>5.51</v>
      </c>
      <c r="E31" s="8">
        <v>156</v>
      </c>
      <c r="F31" s="8">
        <v>561</v>
      </c>
      <c r="G31" s="8">
        <v>98.49</v>
      </c>
      <c r="H31" s="8">
        <v>20.21</v>
      </c>
      <c r="I31" s="7">
        <v>4.88</v>
      </c>
      <c r="J31" s="9">
        <v>3.1591</v>
      </c>
      <c r="K31" s="10">
        <v>-1.67</v>
      </c>
      <c r="L31" s="29">
        <v>112</v>
      </c>
      <c r="M31" s="22">
        <f t="shared" si="0"/>
        <v>10.41</v>
      </c>
      <c r="O31" s="19">
        <v>1</v>
      </c>
      <c r="P31" s="19"/>
    </row>
    <row r="32" spans="1:16" ht="14.5">
      <c r="A32" s="5">
        <v>45839</v>
      </c>
      <c r="B32" s="6">
        <v>4.33</v>
      </c>
      <c r="C32" s="25">
        <f>C31*O32</f>
        <v>15.1822</v>
      </c>
      <c r="D32" s="20">
        <f>EXP(LN(D31)+Modelo!$C$5*(LN(F32)-LN(F31))+Modelo!$C$6*(LN(H32)-LN(H31))+Modelo!$C$7*(LN(E32)-LN(E31))+Modelo!$C$8*(LN(G32)-LN(G31))+Modelo!$C$9*(LN(L32)-LN(L31))+Modelo!$C$10*(LN(C32)-LN(C31))+Modelo!$C$11*(LN(B32)-LN(B31))+Modelo!$C$11*(M32-M31)+ Modelo!$C$13)</f>
        <v>5.5149873904658371</v>
      </c>
      <c r="E32" s="8">
        <v>150</v>
      </c>
      <c r="F32" s="8">
        <v>550</v>
      </c>
      <c r="G32" s="8">
        <v>97</v>
      </c>
      <c r="H32" s="8">
        <v>19</v>
      </c>
      <c r="L32" s="29">
        <v>112</v>
      </c>
      <c r="M32" s="22">
        <f t="shared" si="0"/>
        <v>10.8522</v>
      </c>
      <c r="O32" s="19">
        <v>1.03</v>
      </c>
      <c r="P32" s="19">
        <v>0.97</v>
      </c>
    </row>
    <row r="33" spans="1:16" ht="14.5">
      <c r="A33" s="5">
        <v>45870</v>
      </c>
      <c r="B33" s="6">
        <v>4.33</v>
      </c>
      <c r="C33" s="25">
        <f t="shared" ref="C33:C49" si="1">C32*O33</f>
        <v>15.637666000000001</v>
      </c>
      <c r="D33" s="20">
        <f>EXP(LN(D32)+Modelo!$C$5*(LN(F33)-LN(F32))+Modelo!$C$6*(LN(H33)-LN(H32))+Modelo!$C$7*(LN(E33)-LN(E32))+Modelo!$C$8*(LN(G33)-LN(G32))+Modelo!$C$9*(LN(L33)-LN(L32))+Modelo!$C$10*(LN(C33)-LN(C32))+Modelo!$C$11*(LN(B33)-LN(B32))+Modelo!$C$11*(M33-M32)+ Modelo!$C$13)</f>
        <v>5.5450504544917383</v>
      </c>
      <c r="E33" s="8">
        <v>150</v>
      </c>
      <c r="F33" s="8">
        <v>550</v>
      </c>
      <c r="G33" s="8">
        <v>97</v>
      </c>
      <c r="H33" s="8">
        <v>19</v>
      </c>
      <c r="L33" s="29">
        <v>112</v>
      </c>
      <c r="M33" s="22">
        <f t="shared" si="0"/>
        <v>11.307666000000001</v>
      </c>
      <c r="O33" s="19">
        <v>1.03</v>
      </c>
      <c r="P33" s="19">
        <v>0.97</v>
      </c>
    </row>
    <row r="34" spans="1:16" ht="14.5">
      <c r="A34" s="5">
        <v>45901</v>
      </c>
      <c r="B34" s="6">
        <v>4.33</v>
      </c>
      <c r="C34" s="25">
        <f t="shared" si="1"/>
        <v>16.106795980000001</v>
      </c>
      <c r="D34" s="20">
        <f>EXP(LN(D33)+Modelo!$C$5*(LN(F34)-LN(F33))+Modelo!$C$6*(LN(H34)-LN(H33))+Modelo!$C$7*(LN(E34)-LN(E33))+Modelo!$C$8*(LN(G34)-LN(G33))+Modelo!$C$9*(LN(L34)-LN(L33))+Modelo!$C$10*(LN(C34)-LN(C33))+Modelo!$C$11*(LN(B34)-LN(B33))+Modelo!$C$11*(M34-M33)+ Modelo!$C$13)</f>
        <v>5.5739005287177221</v>
      </c>
      <c r="E34" s="8">
        <v>150</v>
      </c>
      <c r="F34" s="8">
        <v>550</v>
      </c>
      <c r="G34" s="8">
        <v>97</v>
      </c>
      <c r="H34" s="8">
        <v>19</v>
      </c>
      <c r="L34" s="29">
        <v>112</v>
      </c>
      <c r="M34" s="22">
        <f t="shared" si="0"/>
        <v>11.776795980000001</v>
      </c>
      <c r="O34" s="19">
        <v>1.03</v>
      </c>
      <c r="P34" s="19">
        <v>0.97</v>
      </c>
    </row>
    <row r="35" spans="1:16" ht="14.5">
      <c r="A35" s="5">
        <v>45931</v>
      </c>
      <c r="B35" s="6">
        <v>4.33</v>
      </c>
      <c r="C35" s="25">
        <f t="shared" si="1"/>
        <v>16.589999859400002</v>
      </c>
      <c r="D35" s="20">
        <f>EXP(LN(D34)+Modelo!$C$5*(LN(F35)-LN(F34))+Modelo!$C$6*(LN(H35)-LN(H34))+Modelo!$C$7*(LN(E35)-LN(E34))+Modelo!$C$8*(LN(G35)-LN(G34))+Modelo!$C$9*(LN(L35)-LN(L34))+Modelo!$C$10*(LN(C35)-LN(C34))+Modelo!$C$11*(LN(B35)-LN(B34))+Modelo!$C$11*(M35-M34)+ Modelo!$C$13)</f>
        <v>5.6014755100388323</v>
      </c>
      <c r="E35" s="8">
        <v>150</v>
      </c>
      <c r="F35" s="8">
        <v>550</v>
      </c>
      <c r="G35" s="8">
        <v>97</v>
      </c>
      <c r="H35" s="8">
        <v>19</v>
      </c>
      <c r="L35" s="29">
        <v>112</v>
      </c>
      <c r="M35" s="22">
        <f t="shared" si="0"/>
        <v>12.259999859400002</v>
      </c>
      <c r="O35" s="19">
        <v>1.03</v>
      </c>
      <c r="P35" s="19">
        <v>0.97</v>
      </c>
    </row>
    <row r="36" spans="1:16" ht="14.5">
      <c r="A36" s="5">
        <v>45962</v>
      </c>
      <c r="B36" s="6">
        <v>4.33</v>
      </c>
      <c r="C36" s="25">
        <f t="shared" si="1"/>
        <v>17.087699855182002</v>
      </c>
      <c r="D36" s="20">
        <f>EXP(LN(D35)+Modelo!$C$5*(LN(F36)-LN(F35))+Modelo!$C$6*(LN(H36)-LN(H35))+Modelo!$C$7*(LN(E36)-LN(E35))+Modelo!$C$8*(LN(G36)-LN(G35))+Modelo!$C$9*(LN(L36)-LN(L35))+Modelo!$C$10*(LN(C36)-LN(C35))+Modelo!$C$11*(LN(B36)-LN(B35))+Modelo!$C$11*(M36-M35)+ Modelo!$C$13)</f>
        <v>5.6277120764804405</v>
      </c>
      <c r="E36" s="8">
        <v>150</v>
      </c>
      <c r="F36" s="8">
        <v>550</v>
      </c>
      <c r="G36" s="8">
        <v>97</v>
      </c>
      <c r="H36" s="8">
        <v>19</v>
      </c>
      <c r="L36" s="29">
        <v>112</v>
      </c>
      <c r="M36" s="22">
        <f t="shared" si="0"/>
        <v>12.757699855182002</v>
      </c>
      <c r="O36" s="19">
        <v>1.03</v>
      </c>
      <c r="P36" s="19">
        <v>0.97</v>
      </c>
    </row>
    <row r="37" spans="1:16" ht="14.5">
      <c r="A37" s="5">
        <v>45992</v>
      </c>
      <c r="B37" s="6">
        <v>4.33</v>
      </c>
      <c r="C37" s="25">
        <f t="shared" si="1"/>
        <v>17.600330850837462</v>
      </c>
      <c r="D37" s="20">
        <f>EXP(LN(D36)+Modelo!$C$5*(LN(F37)-LN(F36))+Modelo!$C$6*(LN(H37)-LN(H36))+Modelo!$C$7*(LN(E37)-LN(E36))+Modelo!$C$8*(LN(G37)-LN(G36))+Modelo!$C$9*(LN(L37)-LN(L36))+Modelo!$C$10*(LN(C37)-LN(C36))+Modelo!$C$11*(LN(B37)-LN(B36))+Modelo!$C$11*(M37-M36)+ Modelo!$C$13)</f>
        <v>5.6525457444838612</v>
      </c>
      <c r="E37" s="8">
        <v>150</v>
      </c>
      <c r="F37" s="8">
        <v>550</v>
      </c>
      <c r="G37" s="8">
        <v>97</v>
      </c>
      <c r="H37" s="8">
        <v>19</v>
      </c>
      <c r="L37" s="29">
        <v>112</v>
      </c>
      <c r="M37" s="22">
        <f t="shared" si="0"/>
        <v>13.270330850837462</v>
      </c>
      <c r="O37" s="19">
        <v>1.03</v>
      </c>
      <c r="P37" s="19">
        <v>0.97</v>
      </c>
    </row>
    <row r="38" spans="1:16" ht="14.5">
      <c r="A38" s="5">
        <v>46023</v>
      </c>
      <c r="B38" s="6">
        <v>4.33</v>
      </c>
      <c r="C38" s="25">
        <f t="shared" si="1"/>
        <v>18.128340776362588</v>
      </c>
      <c r="D38" s="20">
        <f>EXP(LN(D37)+Modelo!$C$5*(LN(F38)-LN(F37))+Modelo!$C$6*(LN(H38)-LN(H37))+Modelo!$C$7*(LN(E38)-LN(E37))+Modelo!$C$8*(LN(G38)-LN(G37))+Modelo!$C$9*(LN(L38)-LN(L37))+Modelo!$C$10*(LN(C38)-LN(C37))+Modelo!$C$11*(LN(B38)-LN(B37))+Modelo!$C$11*(M38-M37)+ Modelo!$C$13)</f>
        <v>5.6759109339931744</v>
      </c>
      <c r="E38" s="8">
        <v>150</v>
      </c>
      <c r="F38" s="8">
        <v>550</v>
      </c>
      <c r="G38" s="8">
        <v>97</v>
      </c>
      <c r="H38" s="8">
        <v>19</v>
      </c>
      <c r="L38" s="29">
        <v>112</v>
      </c>
      <c r="M38" s="22">
        <f t="shared" si="0"/>
        <v>13.798340776362588</v>
      </c>
      <c r="O38" s="19">
        <v>1.03</v>
      </c>
      <c r="P38" s="19">
        <v>0.97</v>
      </c>
    </row>
    <row r="39" spans="1:16" ht="14.5">
      <c r="A39" s="5">
        <v>46054</v>
      </c>
      <c r="B39" s="6">
        <v>4.33</v>
      </c>
      <c r="C39" s="25">
        <f t="shared" si="1"/>
        <v>18.672190999653466</v>
      </c>
      <c r="D39" s="20">
        <f>EXP(LN(D38)+Modelo!$C$5*(LN(F39)-LN(F38))+Modelo!$C$6*(LN(H39)-LN(H38))+Modelo!$C$7*(LN(E39)-LN(E38))+Modelo!$C$8*(LN(G39)-LN(G38))+Modelo!$C$9*(LN(L39)-LN(L38))+Modelo!$C$10*(LN(C39)-LN(C38))+Modelo!$C$11*(LN(B39)-LN(B38))+Modelo!$C$11*(M39-M38)+ Modelo!$C$13)</f>
        <v>5.6977410417850276</v>
      </c>
      <c r="E39" s="8">
        <v>150</v>
      </c>
      <c r="F39" s="8">
        <v>550</v>
      </c>
      <c r="G39" s="8">
        <v>97</v>
      </c>
      <c r="H39" s="8">
        <v>19</v>
      </c>
      <c r="L39" s="29">
        <v>112</v>
      </c>
      <c r="M39" s="22">
        <f t="shared" si="0"/>
        <v>14.342190999653466</v>
      </c>
      <c r="O39" s="19">
        <v>1.03</v>
      </c>
      <c r="P39" s="19">
        <v>0.97</v>
      </c>
    </row>
    <row r="40" spans="1:16" ht="14.5">
      <c r="A40" s="5">
        <v>46082</v>
      </c>
      <c r="B40" s="6">
        <v>4.33</v>
      </c>
      <c r="C40" s="25">
        <f t="shared" si="1"/>
        <v>19.232356729643072</v>
      </c>
      <c r="D40" s="20">
        <f>EXP(LN(D39)+Modelo!$C$5*(LN(F40)-LN(F39))+Modelo!$C$6*(LN(H40)-LN(H39))+Modelo!$C$7*(LN(E40)-LN(E39))+Modelo!$C$8*(LN(G40)-LN(G39))+Modelo!$C$9*(LN(L40)-LN(L39))+Modelo!$C$10*(LN(C40)-LN(C39))+Modelo!$C$11*(LN(B40)-LN(B39))+Modelo!$C$11*(M40-M39)+ Modelo!$C$13)</f>
        <v>5.7179685234868352</v>
      </c>
      <c r="E40" s="8">
        <v>150</v>
      </c>
      <c r="F40" s="8">
        <v>550</v>
      </c>
      <c r="G40" s="8">
        <v>97</v>
      </c>
      <c r="H40" s="8">
        <v>19</v>
      </c>
      <c r="L40" s="29">
        <v>112</v>
      </c>
      <c r="M40" s="22">
        <f t="shared" si="0"/>
        <v>14.902356729643072</v>
      </c>
      <c r="O40" s="19">
        <v>1.03</v>
      </c>
      <c r="P40" s="19">
        <v>0.97</v>
      </c>
    </row>
    <row r="41" spans="1:16" ht="14.5">
      <c r="A41" s="5">
        <v>46113</v>
      </c>
      <c r="B41" s="6">
        <v>4.33</v>
      </c>
      <c r="C41" s="25">
        <f t="shared" si="1"/>
        <v>19.809327431532367</v>
      </c>
      <c r="D41" s="20">
        <f>EXP(LN(D40)+Modelo!$C$5*(LN(F41)-LN(F40))+Modelo!$C$6*(LN(H41)-LN(H40))+Modelo!$C$7*(LN(E41)-LN(E40))+Modelo!$C$8*(LN(G41)-LN(G40))+Modelo!$C$9*(LN(L41)-LN(L40))+Modelo!$C$10*(LN(C41)-LN(C40))+Modelo!$C$11*(LN(B41)-LN(B40))+Modelo!$C$11*(M41-M40)+ Modelo!$C$13)</f>
        <v>5.736524984730095</v>
      </c>
      <c r="E41" s="8">
        <v>150</v>
      </c>
      <c r="F41" s="8">
        <v>550</v>
      </c>
      <c r="G41" s="8">
        <v>97</v>
      </c>
      <c r="H41" s="8">
        <v>19</v>
      </c>
      <c r="L41" s="29">
        <v>112</v>
      </c>
      <c r="M41" s="22">
        <f t="shared" si="0"/>
        <v>15.479327431532367</v>
      </c>
      <c r="O41" s="19">
        <v>1.03</v>
      </c>
      <c r="P41" s="19">
        <v>0.97</v>
      </c>
    </row>
    <row r="42" spans="1:16" ht="14.5">
      <c r="A42" s="5">
        <v>46143</v>
      </c>
      <c r="B42" s="6">
        <v>4.33</v>
      </c>
      <c r="C42" s="25">
        <f t="shared" si="1"/>
        <v>20.403607254478338</v>
      </c>
      <c r="D42" s="20">
        <f>EXP(LN(D41)+Modelo!$C$5*(LN(F42)-LN(F41))+Modelo!$C$6*(LN(H42)-LN(H41))+Modelo!$C$7*(LN(E42)-LN(E41))+Modelo!$C$8*(LN(G42)-LN(G41))+Modelo!$C$9*(LN(L42)-LN(L41))+Modelo!$C$10*(LN(C42)-LN(C41))+Modelo!$C$11*(LN(B42)-LN(B41))+Modelo!$C$11*(M42-M41)+ Modelo!$C$13)</f>
        <v>5.7533412818840777</v>
      </c>
      <c r="E42" s="8">
        <v>150</v>
      </c>
      <c r="F42" s="8">
        <v>550</v>
      </c>
      <c r="G42" s="8">
        <v>97</v>
      </c>
      <c r="H42" s="8">
        <v>19</v>
      </c>
      <c r="L42" s="29">
        <v>112</v>
      </c>
      <c r="M42" s="22">
        <f t="shared" si="0"/>
        <v>16.07360725447834</v>
      </c>
      <c r="O42" s="19">
        <v>1.03</v>
      </c>
      <c r="P42" s="19">
        <v>0.97</v>
      </c>
    </row>
    <row r="43" spans="1:16" ht="14.5">
      <c r="A43" s="5">
        <v>46174</v>
      </c>
      <c r="B43" s="6">
        <v>4.33</v>
      </c>
      <c r="C43" s="25">
        <f t="shared" si="1"/>
        <v>21.015715472112689</v>
      </c>
      <c r="D43" s="20">
        <f>EXP(LN(D42)+Modelo!$C$5*(LN(F43)-LN(F42))+Modelo!$C$6*(LN(H43)-LN(H42))+Modelo!$C$7*(LN(E43)-LN(E42))+Modelo!$C$8*(LN(G43)-LN(G42))+Modelo!$C$9*(LN(L43)-LN(L42))+Modelo!$C$10*(LN(C43)-LN(C42))+Modelo!$C$11*(LN(B43)-LN(B42))+Modelo!$C$11*(M43-M42)+ Modelo!$C$13)</f>
        <v>5.7683476328106362</v>
      </c>
      <c r="E43" s="8">
        <v>150</v>
      </c>
      <c r="F43" s="8">
        <v>550</v>
      </c>
      <c r="G43" s="8">
        <v>97</v>
      </c>
      <c r="H43" s="8">
        <v>19</v>
      </c>
      <c r="L43" s="29">
        <v>112</v>
      </c>
      <c r="M43" s="22">
        <f t="shared" si="0"/>
        <v>16.68571547211269</v>
      </c>
      <c r="O43" s="19">
        <v>1.03</v>
      </c>
      <c r="P43" s="19">
        <v>0.97</v>
      </c>
    </row>
    <row r="44" spans="1:16" ht="14.5">
      <c r="A44" s="5">
        <v>46204</v>
      </c>
      <c r="B44" s="6">
        <v>4.33</v>
      </c>
      <c r="C44" s="25">
        <f t="shared" si="1"/>
        <v>21.64618693627607</v>
      </c>
      <c r="D44" s="20">
        <f>EXP(LN(D43)+Modelo!$C$5*(LN(F44)-LN(F43))+Modelo!$C$6*(LN(H44)-LN(H43))+Modelo!$C$7*(LN(E44)-LN(E43))+Modelo!$C$8*(LN(G44)-LN(G43))+Modelo!$C$9*(LN(L44)-LN(L43))+Modelo!$C$10*(LN(C44)-LN(C43))+Modelo!$C$11*(LN(B44)-LN(B43))+Modelo!$C$11*(M44-M43)+ Modelo!$C$13)</f>
        <v>5.7814737380729238</v>
      </c>
      <c r="E44" s="8">
        <v>150</v>
      </c>
      <c r="F44" s="8">
        <v>550</v>
      </c>
      <c r="G44" s="8">
        <v>97</v>
      </c>
      <c r="H44" s="8">
        <v>19</v>
      </c>
      <c r="L44" s="29">
        <v>112</v>
      </c>
      <c r="M44" s="22">
        <f t="shared" si="0"/>
        <v>17.316186936276068</v>
      </c>
      <c r="O44" s="19">
        <v>1.03</v>
      </c>
      <c r="P44" s="19">
        <v>0.97</v>
      </c>
    </row>
    <row r="45" spans="1:16" ht="14.5">
      <c r="A45" s="5">
        <v>46235</v>
      </c>
      <c r="B45" s="6">
        <v>4.33</v>
      </c>
      <c r="C45" s="25">
        <f t="shared" si="1"/>
        <v>22.295572544364354</v>
      </c>
      <c r="D45" s="20">
        <f>EXP(LN(D44)+Modelo!$C$5*(LN(F45)-LN(F44))+Modelo!$C$6*(LN(H45)-LN(H44))+Modelo!$C$7*(LN(E45)-LN(E44))+Modelo!$C$8*(LN(G45)-LN(G44))+Modelo!$C$9*(LN(L45)-LN(L44))+Modelo!$C$10*(LN(C45)-LN(C44))+Modelo!$C$11*(LN(B45)-LN(B44))+Modelo!$C$11*(M45-M44)+ Modelo!$C$13)</f>
        <v>5.7926489130190433</v>
      </c>
      <c r="E45" s="8">
        <v>150</v>
      </c>
      <c r="F45" s="8">
        <v>550</v>
      </c>
      <c r="G45" s="8">
        <v>97</v>
      </c>
      <c r="H45" s="8">
        <v>19</v>
      </c>
      <c r="L45" s="29">
        <v>112</v>
      </c>
      <c r="M45" s="22">
        <f t="shared" si="0"/>
        <v>17.965572544364356</v>
      </c>
      <c r="O45" s="19">
        <v>1.03</v>
      </c>
      <c r="P45" s="19">
        <v>0.97</v>
      </c>
    </row>
    <row r="46" spans="1:16" ht="14.5">
      <c r="A46" s="5">
        <v>46266</v>
      </c>
      <c r="B46" s="6">
        <v>4.33</v>
      </c>
      <c r="C46" s="25">
        <f t="shared" si="1"/>
        <v>22.964439720695285</v>
      </c>
      <c r="D46" s="20">
        <f>EXP(LN(D45)+Modelo!$C$5*(LN(F46)-LN(F45))+Modelo!$C$6*(LN(H46)-LN(H45))+Modelo!$C$7*(LN(E46)-LN(E45))+Modelo!$C$8*(LN(G46)-LN(G45))+Modelo!$C$9*(LN(L46)-LN(L45))+Modelo!$C$10*(LN(C46)-LN(C45))+Modelo!$C$11*(LN(B46)-LN(B45))+Modelo!$C$11*(M46-M45)+ Modelo!$C$13)</f>
        <v>5.8018022311456221</v>
      </c>
      <c r="E46" s="8">
        <v>150</v>
      </c>
      <c r="F46" s="8">
        <v>550</v>
      </c>
      <c r="G46" s="8">
        <v>97</v>
      </c>
      <c r="H46" s="8">
        <v>19</v>
      </c>
      <c r="L46" s="29">
        <v>112</v>
      </c>
      <c r="M46" s="22">
        <f t="shared" si="0"/>
        <v>18.634439720695283</v>
      </c>
      <c r="O46" s="19">
        <v>1.03</v>
      </c>
      <c r="P46" s="19">
        <v>0.97</v>
      </c>
    </row>
    <row r="47" spans="1:16" ht="14.5">
      <c r="A47" s="5">
        <v>46296</v>
      </c>
      <c r="B47" s="6">
        <v>4.33</v>
      </c>
      <c r="C47" s="25">
        <f t="shared" si="1"/>
        <v>23.653372912316144</v>
      </c>
      <c r="D47" s="20">
        <f>EXP(LN(D46)+Modelo!$C$5*(LN(F47)-LN(F46))+Modelo!$C$6*(LN(H47)-LN(H46))+Modelo!$C$7*(LN(E47)-LN(E46))+Modelo!$C$8*(LN(G47)-LN(G46))+Modelo!$C$9*(LN(L47)-LN(L46))+Modelo!$C$10*(LN(C47)-LN(C46))+Modelo!$C$11*(LN(B47)-LN(B46))+Modelo!$C$11*(M47-M46)+ Modelo!$C$13)</f>
        <v>5.8088626791256521</v>
      </c>
      <c r="E47" s="8">
        <v>150</v>
      </c>
      <c r="F47" s="8">
        <v>550</v>
      </c>
      <c r="G47" s="8">
        <v>97</v>
      </c>
      <c r="H47" s="8">
        <v>19</v>
      </c>
      <c r="L47" s="29">
        <v>112</v>
      </c>
      <c r="M47" s="22">
        <f t="shared" si="0"/>
        <v>19.323372912316145</v>
      </c>
      <c r="O47" s="19">
        <v>1.03</v>
      </c>
      <c r="P47" s="19">
        <v>0.97</v>
      </c>
    </row>
    <row r="48" spans="1:16" ht="14.5">
      <c r="A48" s="5">
        <v>46327</v>
      </c>
      <c r="B48" s="6">
        <v>4.33</v>
      </c>
      <c r="C48" s="25">
        <f t="shared" si="1"/>
        <v>24.36297409968563</v>
      </c>
      <c r="D48" s="20">
        <f>EXP(LN(D47)+Modelo!$C$5*(LN(F48)-LN(F47))+Modelo!$C$6*(LN(H48)-LN(H47))+Modelo!$C$7*(LN(E48)-LN(E47))+Modelo!$C$8*(LN(G48)-LN(G47))+Modelo!$C$9*(LN(L48)-LN(L47))+Modelo!$C$10*(LN(C48)-LN(C47))+Modelo!$C$11*(LN(B48)-LN(B47))+Modelo!$C$11*(M48-M47)+ Modelo!$C$13)</f>
        <v>5.8137593238591663</v>
      </c>
      <c r="E48" s="8">
        <v>150</v>
      </c>
      <c r="F48" s="8">
        <v>550</v>
      </c>
      <c r="G48" s="8">
        <v>97</v>
      </c>
      <c r="H48" s="8">
        <v>19</v>
      </c>
      <c r="L48" s="29">
        <v>112</v>
      </c>
      <c r="M48" s="22">
        <f t="shared" si="0"/>
        <v>20.032974099685632</v>
      </c>
      <c r="O48" s="19">
        <v>1.03</v>
      </c>
      <c r="P48" s="19">
        <v>0.97</v>
      </c>
    </row>
    <row r="49" spans="1:20" ht="14.5">
      <c r="A49" s="5">
        <v>46357</v>
      </c>
      <c r="B49" s="6">
        <v>4.33</v>
      </c>
      <c r="C49" s="25">
        <f t="shared" si="1"/>
        <v>25.093863322676199</v>
      </c>
      <c r="D49" s="20">
        <f>EXP(LN(D48)+Modelo!$C$5*(LN(F49)-LN(F48))+Modelo!$C$6*(LN(H49)-LN(H48))+Modelo!$C$7*(LN(E49)-LN(E48))+Modelo!$C$8*(LN(G49)-LN(G48))+Modelo!$C$9*(LN(L49)-LN(L48))+Modelo!$C$10*(LN(C49)-LN(C48))+Modelo!$C$11*(LN(B49)-LN(B48))+Modelo!$C$11*(M49-M48)+ Modelo!$C$13)</f>
        <v>5.8164214918739656</v>
      </c>
      <c r="E49" s="8">
        <v>150</v>
      </c>
      <c r="F49" s="8">
        <v>550</v>
      </c>
      <c r="G49" s="8">
        <v>97</v>
      </c>
      <c r="H49" s="8">
        <v>19</v>
      </c>
      <c r="L49" s="29">
        <v>112</v>
      </c>
      <c r="M49" s="22">
        <f t="shared" si="0"/>
        <v>20.763863322676201</v>
      </c>
      <c r="O49" s="19">
        <v>1.03</v>
      </c>
      <c r="P49" s="19">
        <v>0.97</v>
      </c>
    </row>
    <row r="50" spans="1:20">
      <c r="M50" s="29"/>
      <c r="O50" s="19">
        <v>1.03</v>
      </c>
      <c r="P50" s="19">
        <v>0.97</v>
      </c>
    </row>
    <row r="51" spans="1:20" ht="14.5">
      <c r="A51" s="5">
        <v>45809</v>
      </c>
      <c r="B51">
        <v>4.33</v>
      </c>
      <c r="C51" s="25">
        <v>14.74</v>
      </c>
      <c r="D51" s="8">
        <v>5.51</v>
      </c>
      <c r="E51" s="8">
        <v>156</v>
      </c>
      <c r="F51" s="8">
        <v>561</v>
      </c>
      <c r="G51" s="8">
        <v>98.49</v>
      </c>
      <c r="H51" s="8">
        <v>20.21</v>
      </c>
      <c r="I51" s="7">
        <v>4.88</v>
      </c>
      <c r="J51" s="9">
        <v>3.1591</v>
      </c>
      <c r="K51" s="10">
        <v>-1.67</v>
      </c>
      <c r="L51" s="29">
        <v>112</v>
      </c>
      <c r="M51" s="29">
        <f>C51-B51</f>
        <v>10.41</v>
      </c>
      <c r="O51" s="19"/>
    </row>
    <row r="52" spans="1:20" ht="14.5">
      <c r="A52" s="5">
        <v>45839</v>
      </c>
      <c r="B52">
        <v>4.33</v>
      </c>
      <c r="C52" s="25">
        <f>C51*P32</f>
        <v>14.297800000000001</v>
      </c>
      <c r="D52" s="20">
        <f>EXP(LN(D51)+Modelo!$C$5*(LN(F52)-LN(F51))+Modelo!$C$6*(LN(H52)-LN(H51))+Modelo!$C$7*(LN(E52)-LN(E51))+Modelo!$C$8*(LN(G52)-LN(G51))+Modelo!$C$9*(LN(L52)-LN(L51))+Modelo!$C$10*(LN(C52)-LN(C51))+Modelo!$C$11*(LN(B52)-LN(B51))+Modelo!$C$11*(M52-M51)+ Modelo!$C$13)</f>
        <v>5.6281909131015349</v>
      </c>
      <c r="E52" s="8">
        <v>150</v>
      </c>
      <c r="F52" s="8">
        <v>550</v>
      </c>
      <c r="G52" s="8">
        <v>97</v>
      </c>
      <c r="H52" s="8">
        <v>19</v>
      </c>
      <c r="L52" s="29">
        <v>112</v>
      </c>
      <c r="M52" s="29">
        <f t="shared" ref="M52:M69" si="2">C52-B52</f>
        <v>9.9678000000000004</v>
      </c>
    </row>
    <row r="53" spans="1:20" ht="14.5">
      <c r="A53" s="5">
        <v>45870</v>
      </c>
      <c r="B53">
        <v>4.33</v>
      </c>
      <c r="C53" s="25">
        <f t="shared" ref="C53:C69" si="3">C52*P33</f>
        <v>13.868866000000001</v>
      </c>
      <c r="D53" s="20">
        <f>EXP(LN(D52)+Modelo!$C$5*(LN(F53)-LN(F52))+Modelo!$C$6*(LN(H53)-LN(H52))+Modelo!$C$7*(LN(E53)-LN(E52))+Modelo!$C$8*(LN(G53)-LN(G52))+Modelo!$C$9*(LN(L53)-LN(L52))+Modelo!$C$10*(LN(C53)-LN(C52))+Modelo!$C$11*(LN(B53)-LN(B52))+Modelo!$C$11*(M53-M52)+ Modelo!$C$13)</f>
        <v>5.7750280217656131</v>
      </c>
      <c r="E53" s="8">
        <v>150</v>
      </c>
      <c r="F53" s="8">
        <v>550</v>
      </c>
      <c r="G53" s="8">
        <v>97</v>
      </c>
      <c r="H53" s="8">
        <v>19</v>
      </c>
      <c r="L53" s="29">
        <v>112</v>
      </c>
      <c r="M53" s="29">
        <f t="shared" si="2"/>
        <v>9.5388660000000005</v>
      </c>
    </row>
    <row r="54" spans="1:20" ht="14.5">
      <c r="A54" s="5">
        <v>45901</v>
      </c>
      <c r="B54">
        <v>4.33</v>
      </c>
      <c r="C54" s="25">
        <f t="shared" si="3"/>
        <v>13.45280002</v>
      </c>
      <c r="D54" s="20">
        <f>EXP(LN(D53)+Modelo!$C$5*(LN(F54)-LN(F53))+Modelo!$C$6*(LN(H54)-LN(H53))+Modelo!$C$7*(LN(E54)-LN(E53))+Modelo!$C$8*(LN(G54)-LN(G53))+Modelo!$C$9*(LN(L54)-LN(L53))+Modelo!$C$10*(LN(C54)-LN(C53))+Modelo!$C$11*(LN(B54)-LN(B53))+Modelo!$C$11*(M54-M53)+ Modelo!$C$13)</f>
        <v>5.9243178777659269</v>
      </c>
      <c r="E54" s="8">
        <v>150</v>
      </c>
      <c r="F54" s="8">
        <v>550</v>
      </c>
      <c r="G54" s="8">
        <v>97</v>
      </c>
      <c r="H54" s="8">
        <v>19</v>
      </c>
      <c r="L54" s="29">
        <v>112</v>
      </c>
      <c r="M54" s="29">
        <f t="shared" si="2"/>
        <v>9.1228000199999997</v>
      </c>
    </row>
    <row r="55" spans="1:20" ht="14.5">
      <c r="A55" s="5">
        <v>45931</v>
      </c>
      <c r="B55">
        <v>4.33</v>
      </c>
      <c r="C55" s="25">
        <f t="shared" si="3"/>
        <v>13.049216019399999</v>
      </c>
      <c r="D55" s="20">
        <f>EXP(LN(D54)+Modelo!$C$5*(LN(F55)-LN(F54))+Modelo!$C$6*(LN(H55)-LN(H54))+Modelo!$C$7*(LN(E55)-LN(E54))+Modelo!$C$8*(LN(G55)-LN(G54))+Modelo!$C$9*(LN(L55)-LN(L54))+Modelo!$C$10*(LN(C55)-LN(C54))+Modelo!$C$11*(LN(B55)-LN(B54))+Modelo!$C$11*(M55-M54)+ Modelo!$C$13)</f>
        <v>6.0760959463474027</v>
      </c>
      <c r="E55" s="8">
        <v>150</v>
      </c>
      <c r="F55" s="8">
        <v>550</v>
      </c>
      <c r="G55" s="8">
        <v>97</v>
      </c>
      <c r="H55" s="8">
        <v>19</v>
      </c>
      <c r="L55" s="29">
        <v>112</v>
      </c>
      <c r="M55" s="29">
        <f t="shared" si="2"/>
        <v>8.7192160193999992</v>
      </c>
    </row>
    <row r="56" spans="1:20" ht="14.5">
      <c r="A56" s="5">
        <v>45962</v>
      </c>
      <c r="B56">
        <v>4.33</v>
      </c>
      <c r="C56" s="25">
        <f t="shared" si="3"/>
        <v>12.657739538817999</v>
      </c>
      <c r="D56" s="20">
        <f>EXP(LN(D55)+Modelo!$C$5*(LN(F56)-LN(F55))+Modelo!$C$6*(LN(H56)-LN(H55))+Modelo!$C$7*(LN(E56)-LN(E55))+Modelo!$C$8*(LN(G56)-LN(G55))+Modelo!$C$9*(LN(L56)-LN(L55))+Modelo!$C$10*(LN(C56)-LN(C55))+Modelo!$C$11*(LN(B56)-LN(B55))+Modelo!$C$11*(M56-M55)+ Modelo!$C$13)</f>
        <v>6.2303987868668438</v>
      </c>
      <c r="E56" s="8">
        <v>150</v>
      </c>
      <c r="F56" s="8">
        <v>550</v>
      </c>
      <c r="G56" s="8">
        <v>97</v>
      </c>
      <c r="H56" s="8">
        <v>19</v>
      </c>
      <c r="L56" s="29">
        <v>112</v>
      </c>
      <c r="M56" s="29">
        <f t="shared" si="2"/>
        <v>8.3277395388179993</v>
      </c>
    </row>
    <row r="57" spans="1:20" ht="14.5">
      <c r="A57" s="5">
        <v>45992</v>
      </c>
      <c r="B57">
        <v>4.33</v>
      </c>
      <c r="C57" s="25">
        <f t="shared" si="3"/>
        <v>12.278007352653459</v>
      </c>
      <c r="D57" s="20">
        <f>EXP(LN(D56)+Modelo!$C$5*(LN(F57)-LN(F56))+Modelo!$C$6*(LN(H57)-LN(H56))+Modelo!$C$7*(LN(E57)-LN(E56))+Modelo!$C$8*(LN(G57)-LN(G56))+Modelo!$C$9*(LN(L57)-LN(L56))+Modelo!$C$10*(LN(C57)-LN(C56))+Modelo!$C$11*(LN(B57)-LN(B56))+Modelo!$C$11*(M57-M56)+ Modelo!$C$13)</f>
        <v>6.3872640624032426</v>
      </c>
      <c r="E57" s="8">
        <v>150</v>
      </c>
      <c r="F57" s="8">
        <v>550</v>
      </c>
      <c r="G57" s="8">
        <v>97</v>
      </c>
      <c r="H57" s="8">
        <v>19</v>
      </c>
      <c r="L57" s="29">
        <v>112</v>
      </c>
      <c r="M57" s="29">
        <f t="shared" si="2"/>
        <v>7.9480073526534589</v>
      </c>
    </row>
    <row r="58" spans="1:20" ht="14.5">
      <c r="A58" s="5">
        <v>46023</v>
      </c>
      <c r="B58">
        <v>4.33</v>
      </c>
      <c r="C58" s="25">
        <f t="shared" si="3"/>
        <v>11.909667132073855</v>
      </c>
      <c r="D58" s="20">
        <f>EXP(LN(D57)+Modelo!$C$5*(LN(F58)-LN(F57))+Modelo!$C$6*(LN(H58)-LN(H57))+Modelo!$C$7*(LN(E58)-LN(E57))+Modelo!$C$8*(LN(G58)-LN(G57))+Modelo!$C$9*(LN(L58)-LN(L57))+Modelo!$C$10*(LN(C58)-LN(C57))+Modelo!$C$11*(LN(B58)-LN(B57))+Modelo!$C$11*(M58-M57)+ Modelo!$C$13)</f>
        <v>6.5467305493362158</v>
      </c>
      <c r="E58" s="8">
        <v>150</v>
      </c>
      <c r="F58" s="8">
        <v>550</v>
      </c>
      <c r="G58" s="8">
        <v>97</v>
      </c>
      <c r="H58" s="8">
        <v>19</v>
      </c>
      <c r="L58" s="29">
        <v>112</v>
      </c>
      <c r="M58" s="29">
        <f t="shared" si="2"/>
        <v>7.5796671320738547</v>
      </c>
      <c r="T58" s="30"/>
    </row>
    <row r="59" spans="1:20" ht="14.5">
      <c r="A59" s="5">
        <v>46054</v>
      </c>
      <c r="B59">
        <v>4.33</v>
      </c>
      <c r="C59" s="25">
        <f t="shared" si="3"/>
        <v>11.552377118111639</v>
      </c>
      <c r="D59" s="20">
        <f>EXP(LN(D58)+Modelo!$C$5*(LN(F59)-LN(F58))+Modelo!$C$6*(LN(H59)-LN(H58))+Modelo!$C$7*(LN(E59)-LN(E58))+Modelo!$C$8*(LN(G59)-LN(G58))+Modelo!$C$9*(LN(L59)-LN(L58))+Modelo!$C$10*(LN(C59)-LN(C58))+Modelo!$C$11*(LN(B59)-LN(B58))+Modelo!$C$11*(M59-M58)+ Modelo!$C$13)</f>
        <v>6.7088381469338563</v>
      </c>
      <c r="E59" s="8">
        <v>150</v>
      </c>
      <c r="F59" s="8">
        <v>550</v>
      </c>
      <c r="G59" s="8">
        <v>97</v>
      </c>
      <c r="H59" s="8">
        <v>19</v>
      </c>
      <c r="L59" s="29">
        <v>112</v>
      </c>
      <c r="M59" s="29">
        <f t="shared" si="2"/>
        <v>7.2223771181116394</v>
      </c>
    </row>
    <row r="60" spans="1:20" ht="14.5">
      <c r="A60" s="5">
        <v>46082</v>
      </c>
      <c r="B60">
        <v>4.33</v>
      </c>
      <c r="C60" s="25">
        <f t="shared" si="3"/>
        <v>11.205805804568289</v>
      </c>
      <c r="D60" s="20">
        <f>EXP(LN(D59)+Modelo!$C$5*(LN(F60)-LN(F59))+Modelo!$C$6*(LN(H60)-LN(H59))+Modelo!$C$7*(LN(E60)-LN(E59))+Modelo!$C$8*(LN(G60)-LN(G59))+Modelo!$C$9*(LN(L60)-LN(L59))+Modelo!$C$10*(LN(C60)-LN(C59))+Modelo!$C$11*(LN(B60)-LN(B59))+Modelo!$C$11*(M60-M59)+ Modelo!$C$13)</f>
        <v>6.8736278869891452</v>
      </c>
      <c r="E60" s="8">
        <v>150</v>
      </c>
      <c r="F60" s="8">
        <v>550</v>
      </c>
      <c r="G60" s="8">
        <v>97</v>
      </c>
      <c r="H60" s="8">
        <v>19</v>
      </c>
      <c r="L60" s="29">
        <v>112</v>
      </c>
      <c r="M60" s="29">
        <f t="shared" si="2"/>
        <v>6.875805804568289</v>
      </c>
    </row>
    <row r="61" spans="1:20" ht="14.5">
      <c r="A61" s="5">
        <v>46113</v>
      </c>
      <c r="B61">
        <v>4.33</v>
      </c>
      <c r="C61" s="25">
        <f t="shared" si="3"/>
        <v>10.86963163043124</v>
      </c>
      <c r="D61" s="20">
        <f>EXP(LN(D60)+Modelo!$C$5*(LN(F61)-LN(F60))+Modelo!$C$6*(LN(H61)-LN(H60))+Modelo!$C$7*(LN(E61)-LN(E60))+Modelo!$C$8*(LN(G61)-LN(G60))+Modelo!$C$9*(LN(L61)-LN(L60))+Modelo!$C$10*(LN(C61)-LN(C60))+Modelo!$C$11*(LN(B61)-LN(B60))+Modelo!$C$11*(M61-M60)+ Modelo!$C$13)</f>
        <v>7.0411419435418807</v>
      </c>
      <c r="E61" s="8">
        <v>150</v>
      </c>
      <c r="F61" s="8">
        <v>550</v>
      </c>
      <c r="G61" s="8">
        <v>97</v>
      </c>
      <c r="H61" s="8">
        <v>19</v>
      </c>
      <c r="L61" s="29">
        <v>112</v>
      </c>
      <c r="M61" s="29">
        <f t="shared" si="2"/>
        <v>6.5396316304312396</v>
      </c>
    </row>
    <row r="62" spans="1:20" ht="14.5">
      <c r="A62" s="5">
        <v>46143</v>
      </c>
      <c r="B62">
        <v>4.33</v>
      </c>
      <c r="C62" s="25">
        <f t="shared" si="3"/>
        <v>10.543542681518302</v>
      </c>
      <c r="D62" s="20">
        <f>EXP(LN(D61)+Modelo!$C$5*(LN(F62)-LN(F61))+Modelo!$C$6*(LN(H62)-LN(H61))+Modelo!$C$7*(LN(E62)-LN(E61))+Modelo!$C$8*(LN(G62)-LN(G61))+Modelo!$C$9*(LN(L62)-LN(L61))+Modelo!$C$10*(LN(C62)-LN(C61))+Modelo!$C$11*(LN(B62)-LN(B61))+Modelo!$C$11*(M62-M61)+ Modelo!$C$13)</f>
        <v>7.2114236427211305</v>
      </c>
      <c r="E62" s="8">
        <v>150</v>
      </c>
      <c r="F62" s="8">
        <v>550</v>
      </c>
      <c r="G62" s="8">
        <v>97</v>
      </c>
      <c r="H62" s="8">
        <v>19</v>
      </c>
      <c r="L62" s="29">
        <v>112</v>
      </c>
      <c r="M62" s="29">
        <f t="shared" si="2"/>
        <v>6.2135426815183017</v>
      </c>
    </row>
    <row r="63" spans="1:20" ht="14.5">
      <c r="A63" s="5">
        <v>46174</v>
      </c>
      <c r="B63">
        <v>4.33</v>
      </c>
      <c r="C63" s="25">
        <f t="shared" si="3"/>
        <v>10.227236401072753</v>
      </c>
      <c r="D63" s="20">
        <f>EXP(LN(D62)+Modelo!$C$5*(LN(F63)-LN(F62))+Modelo!$C$6*(LN(H63)-LN(H62))+Modelo!$C$7*(LN(E63)-LN(E62))+Modelo!$C$8*(LN(G63)-LN(G62))+Modelo!$C$9*(LN(L63)-LN(L62))+Modelo!$C$10*(LN(C63)-LN(C62))+Modelo!$C$11*(LN(B63)-LN(B62))+Modelo!$C$11*(M63-M62)+ Modelo!$C$13)</f>
        <v>7.384517472741174</v>
      </c>
      <c r="E63" s="8">
        <v>150</v>
      </c>
      <c r="F63" s="8">
        <v>550</v>
      </c>
      <c r="G63" s="8">
        <v>97</v>
      </c>
      <c r="H63" s="8">
        <v>19</v>
      </c>
      <c r="L63" s="29">
        <v>112</v>
      </c>
      <c r="M63" s="29">
        <f t="shared" si="2"/>
        <v>5.8972364010727532</v>
      </c>
    </row>
    <row r="64" spans="1:20" ht="14.5">
      <c r="A64" s="5">
        <v>46204</v>
      </c>
      <c r="B64">
        <v>4.33</v>
      </c>
      <c r="C64" s="25">
        <f t="shared" si="3"/>
        <v>9.9204193090405699</v>
      </c>
      <c r="D64" s="20">
        <f>EXP(LN(D63)+Modelo!$C$5*(LN(F64)-LN(F63))+Modelo!$C$6*(LN(H64)-LN(H63))+Modelo!$C$7*(LN(E64)-LN(E63))+Modelo!$C$8*(LN(G64)-LN(G63))+Modelo!$C$9*(LN(L64)-LN(L63))+Modelo!$C$10*(LN(C64)-LN(C63))+Modelo!$C$11*(LN(B64)-LN(B63))+Modelo!$C$11*(M64-M63)+ Modelo!$C$13)</f>
        <v>7.5604690940820864</v>
      </c>
      <c r="E64" s="8">
        <v>150</v>
      </c>
      <c r="F64" s="8">
        <v>550</v>
      </c>
      <c r="G64" s="8">
        <v>97</v>
      </c>
      <c r="H64" s="8">
        <v>19</v>
      </c>
      <c r="L64" s="29">
        <v>112</v>
      </c>
      <c r="M64" s="29">
        <f t="shared" si="2"/>
        <v>5.5904193090405698</v>
      </c>
    </row>
    <row r="65" spans="1:13" ht="14.5">
      <c r="A65" s="5">
        <v>46235</v>
      </c>
      <c r="B65">
        <v>4.33</v>
      </c>
      <c r="C65" s="25">
        <f t="shared" si="3"/>
        <v>9.6228067297693531</v>
      </c>
      <c r="D65" s="20">
        <f>EXP(LN(D64)+Modelo!$C$5*(LN(F65)-LN(F64))+Modelo!$C$6*(LN(H65)-LN(H64))+Modelo!$C$7*(LN(E65)-LN(E64))+Modelo!$C$8*(LN(G65)-LN(G64))+Modelo!$C$9*(LN(L65)-LN(L64))+Modelo!$C$10*(LN(C65)-LN(C64))+Modelo!$C$11*(LN(B65)-LN(B64))+Modelo!$C$11*(M65-M64)+ Modelo!$C$13)</f>
        <v>7.7393253498842665</v>
      </c>
      <c r="E65" s="8">
        <v>150</v>
      </c>
      <c r="F65" s="8">
        <v>550</v>
      </c>
      <c r="G65" s="8">
        <v>97</v>
      </c>
      <c r="H65" s="8">
        <v>19</v>
      </c>
      <c r="L65" s="29">
        <v>112</v>
      </c>
      <c r="M65" s="29">
        <f t="shared" si="2"/>
        <v>5.2928067297693531</v>
      </c>
    </row>
    <row r="66" spans="1:13" ht="14.5">
      <c r="A66" s="5">
        <v>46266</v>
      </c>
      <c r="B66">
        <v>4.33</v>
      </c>
      <c r="C66" s="25">
        <f t="shared" si="3"/>
        <v>9.3341225278762732</v>
      </c>
      <c r="D66" s="20">
        <f>EXP(LN(D65)+Modelo!$C$5*(LN(F66)-LN(F65))+Modelo!$C$6*(LN(H66)-LN(H65))+Modelo!$C$7*(LN(E66)-LN(E65))+Modelo!$C$8*(LN(G66)-LN(G65))+Modelo!$C$9*(LN(L66)-LN(L65))+Modelo!$C$10*(LN(C66)-LN(C65))+Modelo!$C$11*(LN(B66)-LN(B65))+Modelo!$C$11*(M66-M65)+ Modelo!$C$13)</f>
        <v>7.9211342765845778</v>
      </c>
      <c r="E66" s="8">
        <v>150</v>
      </c>
      <c r="F66" s="8">
        <v>550</v>
      </c>
      <c r="G66" s="8">
        <v>97</v>
      </c>
      <c r="H66" s="8">
        <v>19</v>
      </c>
      <c r="L66" s="29">
        <v>112</v>
      </c>
      <c r="M66" s="29">
        <f t="shared" si="2"/>
        <v>5.0041225278762731</v>
      </c>
    </row>
    <row r="67" spans="1:13" ht="14.5">
      <c r="A67" s="5">
        <v>46296</v>
      </c>
      <c r="B67">
        <v>4.33</v>
      </c>
      <c r="C67" s="25">
        <f t="shared" si="3"/>
        <v>9.054098852039985</v>
      </c>
      <c r="D67" s="20">
        <f>EXP(LN(D66)+Modelo!$C$5*(LN(F67)-LN(F66))+Modelo!$C$6*(LN(H67)-LN(H66))+Modelo!$C$7*(LN(E67)-LN(E66))+Modelo!$C$8*(LN(G67)-LN(G66))+Modelo!$C$9*(LN(L67)-LN(L66))+Modelo!$C$10*(LN(C67)-LN(C66))+Modelo!$C$11*(LN(B67)-LN(B66))+Modelo!$C$11*(M67-M66)+ Modelo!$C$13)</f>
        <v>8.1059451148200594</v>
      </c>
      <c r="E67" s="8">
        <v>150</v>
      </c>
      <c r="F67" s="8">
        <v>550</v>
      </c>
      <c r="G67" s="8">
        <v>97</v>
      </c>
      <c r="H67" s="8">
        <v>19</v>
      </c>
      <c r="L67" s="29">
        <v>112</v>
      </c>
      <c r="M67" s="29">
        <f t="shared" si="2"/>
        <v>4.7240988520399849</v>
      </c>
    </row>
    <row r="68" spans="1:13" ht="14.5">
      <c r="A68" s="5">
        <v>46327</v>
      </c>
      <c r="B68">
        <v>4.33</v>
      </c>
      <c r="C68" s="25">
        <f t="shared" si="3"/>
        <v>8.7824758864787853</v>
      </c>
      <c r="D68" s="20">
        <f>EXP(LN(D67)+Modelo!$C$5*(LN(F68)-LN(F67))+Modelo!$C$6*(LN(H68)-LN(H67))+Modelo!$C$7*(LN(E68)-LN(E67))+Modelo!$C$8*(LN(G68)-LN(G67))+Modelo!$C$9*(LN(L68)-LN(L67))+Modelo!$C$10*(LN(C68)-LN(C67))+Modelo!$C$11*(LN(B68)-LN(B67))+Modelo!$C$11*(M68-M67)+ Modelo!$C$13)</f>
        <v>8.2938083206236879</v>
      </c>
      <c r="E68" s="8">
        <v>150</v>
      </c>
      <c r="F68" s="8">
        <v>550</v>
      </c>
      <c r="G68" s="8">
        <v>97</v>
      </c>
      <c r="H68" s="8">
        <v>19</v>
      </c>
      <c r="L68" s="29">
        <v>112</v>
      </c>
      <c r="M68" s="29">
        <f t="shared" si="2"/>
        <v>4.4524758864787852</v>
      </c>
    </row>
    <row r="69" spans="1:13" ht="14.5">
      <c r="A69" s="5">
        <v>46357</v>
      </c>
      <c r="B69">
        <v>4.33</v>
      </c>
      <c r="C69" s="25">
        <f t="shared" si="3"/>
        <v>8.5190016098844215</v>
      </c>
      <c r="D69" s="20">
        <f>EXP(LN(D68)+Modelo!$C$5*(LN(F69)-LN(F68))+Modelo!$C$6*(LN(H69)-LN(H68))+Modelo!$C$7*(LN(E69)-LN(E68))+Modelo!$C$8*(LN(G69)-LN(G68))+Modelo!$C$9*(LN(L69)-LN(L68))+Modelo!$C$10*(LN(C69)-LN(C68))+Modelo!$C$11*(LN(B69)-LN(B68))+Modelo!$C$11*(M69-M68)+ Modelo!$C$13)</f>
        <v>8.4847755769352009</v>
      </c>
      <c r="E69" s="8">
        <v>150</v>
      </c>
      <c r="F69" s="8">
        <v>550</v>
      </c>
      <c r="G69" s="8">
        <v>97</v>
      </c>
      <c r="H69" s="8">
        <v>19</v>
      </c>
      <c r="L69" s="29">
        <v>112</v>
      </c>
      <c r="M69" s="29">
        <f t="shared" si="2"/>
        <v>4.1890016098844214</v>
      </c>
    </row>
    <row r="71" spans="1:13" ht="14.5">
      <c r="A71" s="5">
        <v>45809</v>
      </c>
      <c r="B71">
        <v>4.33</v>
      </c>
      <c r="C71" s="25">
        <v>14.74</v>
      </c>
      <c r="D71" s="8">
        <v>5.51</v>
      </c>
      <c r="E71" s="8">
        <f>156</f>
        <v>156</v>
      </c>
      <c r="F71" s="8">
        <v>561</v>
      </c>
      <c r="G71" s="8">
        <v>98.49</v>
      </c>
      <c r="H71" s="8">
        <v>20.21</v>
      </c>
      <c r="I71" s="7">
        <v>4.88</v>
      </c>
      <c r="J71" s="9">
        <v>3.1591</v>
      </c>
      <c r="K71" s="10">
        <v>-1.67</v>
      </c>
      <c r="L71" s="29">
        <v>112</v>
      </c>
      <c r="M71" s="29">
        <f>C71-B71</f>
        <v>10.41</v>
      </c>
    </row>
    <row r="72" spans="1:13" ht="14.5">
      <c r="A72" s="5">
        <v>45839</v>
      </c>
      <c r="B72" s="21">
        <v>4.33</v>
      </c>
      <c r="C72" s="25">
        <v>14.74</v>
      </c>
      <c r="D72" s="20">
        <f>EXP(LN(D71)+Modelo!$C$5*(LN(F72)-LN(F71))+Modelo!$C$6*(LN(H72)-LN(H71))+Modelo!$C$7*(LN(E72)-LN(E71))+Modelo!$C$8*(LN(G72)-LN(G71))+Modelo!$C$9*(LN(L72)-LN(L71))+Modelo!$C$11*(M72-M71)+ Modelo!$C$13+Modelo!$C$10*(LN(C72)-LN(C71))+Modelo!$C$11*(LN(B72)-LN(B71)))</f>
        <v>5.5977661880195555</v>
      </c>
      <c r="E72" s="8">
        <f>156</f>
        <v>156</v>
      </c>
      <c r="F72" s="8">
        <v>561</v>
      </c>
      <c r="G72" s="8">
        <v>98.49</v>
      </c>
      <c r="H72" s="8">
        <v>20.21</v>
      </c>
      <c r="L72" s="29">
        <v>112</v>
      </c>
      <c r="M72" s="29">
        <f t="shared" ref="M72:M89" si="4">C72-B72</f>
        <v>10.41</v>
      </c>
    </row>
    <row r="73" spans="1:13" ht="14.5">
      <c r="A73" s="5">
        <v>45870</v>
      </c>
      <c r="B73" s="21">
        <v>4.33</v>
      </c>
      <c r="C73" s="25">
        <v>14.74</v>
      </c>
      <c r="D73" s="20">
        <f>EXP(LN(D72)+Modelo!$C$5*(LN(F73)-LN(F72))+Modelo!$C$6*(LN(H73)-LN(H72))+Modelo!$C$7*(LN(E73)-LN(E72))+Modelo!$C$8*(LN(G73)-LN(G72))+Modelo!$C$9*(LN(L73)-LN(L72))+Modelo!$C$11*(M73-M72)+ Modelo!$C$13+Modelo!$C$10*(LN(C73)-LN(C72))+Modelo!$C$11*(LN(B73)-LN(B72)))</f>
        <v>5.6869303622023564</v>
      </c>
      <c r="E73" s="8">
        <f>156</f>
        <v>156</v>
      </c>
      <c r="F73" s="8">
        <v>561</v>
      </c>
      <c r="G73" s="8">
        <v>98.49</v>
      </c>
      <c r="H73" s="8">
        <v>20.21</v>
      </c>
      <c r="L73" s="29">
        <v>112</v>
      </c>
      <c r="M73" s="29">
        <f t="shared" si="4"/>
        <v>10.41</v>
      </c>
    </row>
    <row r="74" spans="1:13" ht="14.5">
      <c r="A74" s="5">
        <v>45901</v>
      </c>
      <c r="B74" s="21">
        <v>4.33</v>
      </c>
      <c r="C74" s="25">
        <v>14.74</v>
      </c>
      <c r="D74" s="20">
        <f>EXP(LN(D73)+Modelo!$C$5*(LN(F74)-LN(F73))+Modelo!$C$6*(LN(H74)-LN(H73))+Modelo!$C$7*(LN(E74)-LN(E73))+Modelo!$C$8*(LN(G74)-LN(G73))+Modelo!$C$9*(LN(L74)-LN(L73))+Modelo!$C$11*(M74-M73)+ Modelo!$C$13+Modelo!$C$10*(LN(C74)-LN(C73))+Modelo!$C$11*(LN(B74)-LN(B73)))</f>
        <v>5.7775147904098283</v>
      </c>
      <c r="E74" s="8">
        <f>156</f>
        <v>156</v>
      </c>
      <c r="F74" s="8">
        <v>561</v>
      </c>
      <c r="G74" s="8">
        <v>98.49</v>
      </c>
      <c r="H74" s="8">
        <v>20.21</v>
      </c>
      <c r="L74" s="29">
        <v>112</v>
      </c>
      <c r="M74" s="29">
        <f t="shared" si="4"/>
        <v>10.41</v>
      </c>
    </row>
    <row r="75" spans="1:13" ht="14.5">
      <c r="A75" s="5">
        <v>45931</v>
      </c>
      <c r="B75" s="21">
        <v>4.33</v>
      </c>
      <c r="C75" s="25">
        <v>14.74</v>
      </c>
      <c r="D75" s="20">
        <f>EXP(LN(D74)+Modelo!$C$5*(LN(F75)-LN(F74))+Modelo!$C$6*(LN(H75)-LN(H74))+Modelo!$C$7*(LN(E75)-LN(E74))+Modelo!$C$8*(LN(G75)-LN(G74))+Modelo!$C$9*(LN(L75)-LN(L74))+Modelo!$C$11*(M75-M74)+ Modelo!$C$13+Modelo!$C$10*(LN(C75)-LN(C74))+Modelo!$C$11*(LN(B75)-LN(B74)))</f>
        <v>5.8695420951976454</v>
      </c>
      <c r="E75" s="8">
        <f>156</f>
        <v>156</v>
      </c>
      <c r="F75" s="8">
        <v>561</v>
      </c>
      <c r="G75" s="8">
        <v>98.49</v>
      </c>
      <c r="H75" s="8">
        <v>20.21</v>
      </c>
      <c r="L75" s="29">
        <v>112</v>
      </c>
      <c r="M75" s="29">
        <f t="shared" si="4"/>
        <v>10.41</v>
      </c>
    </row>
    <row r="76" spans="1:13" ht="14.5">
      <c r="A76" s="5">
        <v>45962</v>
      </c>
      <c r="B76" s="21">
        <v>4.33</v>
      </c>
      <c r="C76" s="25">
        <v>14.74</v>
      </c>
      <c r="D76" s="20">
        <f>EXP(LN(D75)+Modelo!$C$5*(LN(F76)-LN(F75))+Modelo!$C$6*(LN(H76)-LN(H75))+Modelo!$C$7*(LN(E76)-LN(E75))+Modelo!$C$8*(LN(G76)-LN(G75))+Modelo!$C$9*(LN(L76)-LN(L75))+Modelo!$C$11*(M76-M75)+ Modelo!$C$13+Modelo!$C$10*(LN(C76)-LN(C75))+Modelo!$C$11*(LN(B76)-LN(B75)))</f>
        <v>5.9630352594654878</v>
      </c>
      <c r="E76" s="8">
        <f>156</f>
        <v>156</v>
      </c>
      <c r="F76" s="8">
        <v>561</v>
      </c>
      <c r="G76" s="8">
        <v>98.49</v>
      </c>
      <c r="H76" s="8">
        <v>20.21</v>
      </c>
      <c r="L76" s="29">
        <v>112</v>
      </c>
      <c r="M76" s="29">
        <f t="shared" si="4"/>
        <v>10.41</v>
      </c>
    </row>
    <row r="77" spans="1:13" ht="14.5">
      <c r="A77" s="5">
        <v>45992</v>
      </c>
      <c r="B77" s="21">
        <v>4.33</v>
      </c>
      <c r="C77" s="25">
        <v>14.74</v>
      </c>
      <c r="D77" s="20">
        <f>EXP(LN(D76)+Modelo!$C$5*(LN(F77)-LN(F76))+Modelo!$C$6*(LN(H77)-LN(H76))+Modelo!$C$7*(LN(E77)-LN(E76))+Modelo!$C$8*(LN(G77)-LN(G76))+Modelo!$C$9*(LN(L77)-LN(L76))+Modelo!$C$11*(M77-M76)+ Modelo!$C$13+Modelo!$C$10*(LN(C77)-LN(C76))+Modelo!$C$11*(LN(B77)-LN(B76)))</f>
        <v>6.0580176321967922</v>
      </c>
      <c r="E77" s="8">
        <f>156</f>
        <v>156</v>
      </c>
      <c r="F77" s="8">
        <v>561</v>
      </c>
      <c r="G77" s="8">
        <v>98.49</v>
      </c>
      <c r="H77" s="8">
        <v>20.21</v>
      </c>
      <c r="L77" s="29">
        <v>112</v>
      </c>
      <c r="M77" s="29">
        <f t="shared" si="4"/>
        <v>10.41</v>
      </c>
    </row>
    <row r="78" spans="1:13" ht="14.5">
      <c r="A78" s="5">
        <v>46023</v>
      </c>
      <c r="B78" s="21">
        <v>4.33</v>
      </c>
      <c r="C78" s="25">
        <v>14.74</v>
      </c>
      <c r="D78" s="20">
        <f>EXP(LN(D77)+Modelo!$C$5*(LN(F78)-LN(F77))+Modelo!$C$6*(LN(H78)-LN(H77))+Modelo!$C$7*(LN(E78)-LN(E77))+Modelo!$C$8*(LN(G78)-LN(G77))+Modelo!$C$9*(LN(L78)-LN(L77))+Modelo!$C$11*(M78-M77)+ Modelo!$C$13+Modelo!$C$10*(LN(C78)-LN(C77))+Modelo!$C$11*(LN(B78)-LN(B77)))</f>
        <v>6.1545129342899259</v>
      </c>
      <c r="E78" s="8">
        <f>156</f>
        <v>156</v>
      </c>
      <c r="F78" s="8">
        <v>561</v>
      </c>
      <c r="G78" s="8">
        <v>98.49</v>
      </c>
      <c r="H78" s="8">
        <v>20.21</v>
      </c>
      <c r="L78" s="29">
        <v>112</v>
      </c>
      <c r="M78" s="29">
        <f t="shared" si="4"/>
        <v>10.41</v>
      </c>
    </row>
    <row r="79" spans="1:13" ht="14.5">
      <c r="A79" s="5">
        <v>46054</v>
      </c>
      <c r="B79" s="21">
        <v>4.33</v>
      </c>
      <c r="C79" s="25">
        <v>14.74</v>
      </c>
      <c r="D79" s="20">
        <f>EXP(LN(D78)+Modelo!$C$5*(LN(F79)-LN(F78))+Modelo!$C$6*(LN(H79)-LN(H78))+Modelo!$C$7*(LN(E79)-LN(E78))+Modelo!$C$8*(LN(G79)-LN(G78))+Modelo!$C$9*(LN(L79)-LN(L78))+Modelo!$C$11*(M79-M78)+ Modelo!$C$13+Modelo!$C$10*(LN(C79)-LN(C78))+Modelo!$C$11*(LN(B79)-LN(B78)))</f>
        <v>6.2525452644822446</v>
      </c>
      <c r="E79" s="8">
        <f>156</f>
        <v>156</v>
      </c>
      <c r="F79" s="8">
        <v>561</v>
      </c>
      <c r="G79" s="8">
        <v>98.49</v>
      </c>
      <c r="H79" s="8">
        <v>20.21</v>
      </c>
      <c r="L79" s="29">
        <v>112</v>
      </c>
      <c r="M79" s="29">
        <f t="shared" si="4"/>
        <v>10.41</v>
      </c>
    </row>
    <row r="80" spans="1:13" ht="14.5">
      <c r="A80" s="5">
        <v>46082</v>
      </c>
      <c r="B80" s="21">
        <v>4.33</v>
      </c>
      <c r="C80" s="25">
        <v>14.74</v>
      </c>
      <c r="D80" s="20">
        <f>EXP(LN(D79)+Modelo!$C$5*(LN(F80)-LN(F79))+Modelo!$C$6*(LN(H80)-LN(H79))+Modelo!$C$7*(LN(E80)-LN(E79))+Modelo!$C$8*(LN(G80)-LN(G79))+Modelo!$C$9*(LN(L80)-LN(L79))+Modelo!$C$11*(M80-M79)+ Modelo!$C$13+Modelo!$C$10*(LN(C80)-LN(C79))+Modelo!$C$11*(LN(B80)-LN(B79)))</f>
        <v>6.3521391053685115</v>
      </c>
      <c r="E80" s="8">
        <f>156</f>
        <v>156</v>
      </c>
      <c r="F80" s="8">
        <v>561</v>
      </c>
      <c r="G80" s="8">
        <v>98.49</v>
      </c>
      <c r="H80" s="8">
        <v>20.21</v>
      </c>
      <c r="L80" s="29">
        <v>112</v>
      </c>
      <c r="M80" s="29">
        <f t="shared" si="4"/>
        <v>10.41</v>
      </c>
    </row>
    <row r="81" spans="1:13" ht="14.5">
      <c r="A81" s="5">
        <v>46113</v>
      </c>
      <c r="B81" s="21">
        <v>4.33</v>
      </c>
      <c r="C81" s="25">
        <v>14.74</v>
      </c>
      <c r="D81" s="20">
        <f>EXP(LN(D80)+Modelo!$C$5*(LN(F81)-LN(F80))+Modelo!$C$6*(LN(H81)-LN(H80))+Modelo!$C$7*(LN(E81)-LN(E80))+Modelo!$C$8*(LN(G81)-LN(G80))+Modelo!$C$9*(LN(L81)-LN(L80))+Modelo!$C$11*(M81-M80)+ Modelo!$C$13+Modelo!$C$10*(LN(C81)-LN(C80))+Modelo!$C$11*(LN(B81)-LN(B80)))</f>
        <v>6.4533193295151801</v>
      </c>
      <c r="E81" s="8">
        <f>156</f>
        <v>156</v>
      </c>
      <c r="F81" s="8">
        <v>561</v>
      </c>
      <c r="G81" s="8">
        <v>98.49</v>
      </c>
      <c r="H81" s="8">
        <v>20.21</v>
      </c>
      <c r="L81" s="29">
        <v>112</v>
      </c>
      <c r="M81" s="29">
        <f t="shared" si="4"/>
        <v>10.41</v>
      </c>
    </row>
    <row r="82" spans="1:13" ht="14.5">
      <c r="A82" s="5">
        <v>46143</v>
      </c>
      <c r="B82" s="21">
        <v>4.33</v>
      </c>
      <c r="C82" s="25">
        <v>14.74</v>
      </c>
      <c r="D82" s="20">
        <f>EXP(LN(D81)+Modelo!$C$5*(LN(F82)-LN(F81))+Modelo!$C$6*(LN(H82)-LN(H81))+Modelo!$C$7*(LN(E82)-LN(E81))+Modelo!$C$8*(LN(G82)-LN(G81))+Modelo!$C$9*(LN(L82)-LN(L81))+Modelo!$C$11*(M82-M81)+ Modelo!$C$13+Modelo!$C$10*(LN(C82)-LN(C81))+Modelo!$C$11*(LN(B82)-LN(B81)))</f>
        <v>6.5561112056720692</v>
      </c>
      <c r="E82" s="8">
        <f>156</f>
        <v>156</v>
      </c>
      <c r="F82" s="8">
        <v>561</v>
      </c>
      <c r="G82" s="8">
        <v>98.49</v>
      </c>
      <c r="H82" s="8">
        <v>20.21</v>
      </c>
      <c r="L82" s="29">
        <v>112</v>
      </c>
      <c r="M82" s="29">
        <f t="shared" si="4"/>
        <v>10.41</v>
      </c>
    </row>
    <row r="83" spans="1:13" ht="14.5">
      <c r="A83" s="5">
        <v>46174</v>
      </c>
      <c r="B83" s="21">
        <v>4.33</v>
      </c>
      <c r="C83" s="25">
        <v>14.74</v>
      </c>
      <c r="D83" s="20">
        <f>EXP(LN(D82)+Modelo!$C$5*(LN(F83)-LN(F82))+Modelo!$C$6*(LN(H83)-LN(H82))+Modelo!$C$7*(LN(E83)-LN(E82))+Modelo!$C$8*(LN(G83)-LN(G82))+Modelo!$C$9*(LN(L83)-LN(L82))+Modelo!$C$11*(M83-M82)+ Modelo!$C$13+Modelo!$C$10*(LN(C83)-LN(C82))+Modelo!$C$11*(LN(B83)-LN(B82)))</f>
        <v>6.6605404050829824</v>
      </c>
      <c r="E83" s="8">
        <f>156</f>
        <v>156</v>
      </c>
      <c r="F83" s="8">
        <v>561</v>
      </c>
      <c r="G83" s="8">
        <v>98.49</v>
      </c>
      <c r="H83" s="8">
        <v>20.21</v>
      </c>
      <c r="L83" s="29">
        <v>112</v>
      </c>
      <c r="M83" s="29">
        <f t="shared" si="4"/>
        <v>10.41</v>
      </c>
    </row>
    <row r="84" spans="1:13" ht="14.5">
      <c r="A84" s="5">
        <v>46204</v>
      </c>
      <c r="B84" s="21">
        <v>4.33</v>
      </c>
      <c r="C84" s="25">
        <v>14.74</v>
      </c>
      <c r="D84" s="20">
        <f>EXP(LN(D83)+Modelo!$C$5*(LN(F84)-LN(F83))+Modelo!$C$6*(LN(H84)-LN(H83))+Modelo!$C$7*(LN(E84)-LN(E83))+Modelo!$C$8*(LN(G84)-LN(G83))+Modelo!$C$9*(LN(L84)-LN(L83))+Modelo!$C$11*(M84-M83)+ Modelo!$C$13+Modelo!$C$10*(LN(C84)-LN(C83))+Modelo!$C$11*(LN(B84)-LN(B83)))</f>
        <v>6.7666330078968402</v>
      </c>
      <c r="E84" s="8">
        <f>156</f>
        <v>156</v>
      </c>
      <c r="F84" s="8">
        <v>561</v>
      </c>
      <c r="G84" s="8">
        <v>98.49</v>
      </c>
      <c r="H84" s="8">
        <v>20.21</v>
      </c>
      <c r="L84" s="29">
        <v>112</v>
      </c>
      <c r="M84" s="29">
        <f t="shared" si="4"/>
        <v>10.41</v>
      </c>
    </row>
    <row r="85" spans="1:13" ht="14.5">
      <c r="A85" s="5">
        <v>46235</v>
      </c>
      <c r="B85" s="21">
        <v>4.33</v>
      </c>
      <c r="C85" s="25">
        <v>14.74</v>
      </c>
      <c r="D85" s="20">
        <f>EXP(LN(D84)+Modelo!$C$5*(LN(F85)-LN(F84))+Modelo!$C$6*(LN(H85)-LN(H84))+Modelo!$C$7*(LN(E85)-LN(E84))+Modelo!$C$8*(LN(G85)-LN(G84))+Modelo!$C$9*(LN(L85)-LN(L84))+Modelo!$C$11*(M85-M84)+ Modelo!$C$13+Modelo!$C$10*(LN(C85)-LN(C84))+Modelo!$C$11*(LN(B85)-LN(B84)))</f>
        <v>6.8744155096809427</v>
      </c>
      <c r="E85" s="8">
        <f>156</f>
        <v>156</v>
      </c>
      <c r="F85" s="8">
        <v>561</v>
      </c>
      <c r="G85" s="8">
        <v>98.49</v>
      </c>
      <c r="H85" s="8">
        <v>20.21</v>
      </c>
      <c r="L85" s="29">
        <v>112</v>
      </c>
      <c r="M85" s="29">
        <f t="shared" si="4"/>
        <v>10.41</v>
      </c>
    </row>
    <row r="86" spans="1:13" ht="14.5">
      <c r="A86" s="5">
        <v>46266</v>
      </c>
      <c r="B86" s="21">
        <v>4.33</v>
      </c>
      <c r="C86" s="25">
        <v>14.74</v>
      </c>
      <c r="D86" s="20">
        <f>EXP(LN(D85)+Modelo!$C$5*(LN(F86)-LN(F85))+Modelo!$C$6*(LN(H86)-LN(H85))+Modelo!$C$7*(LN(E86)-LN(E85))+Modelo!$C$8*(LN(G86)-LN(G85))+Modelo!$C$9*(LN(L86)-LN(L85))+Modelo!$C$11*(M86-M85)+ Modelo!$C$13+Modelo!$C$10*(LN(C86)-LN(C85))+Modelo!$C$11*(LN(B86)-LN(B85)))</f>
        <v>6.9839148280379675</v>
      </c>
      <c r="E86" s="8">
        <f>156</f>
        <v>156</v>
      </c>
      <c r="F86" s="8">
        <v>561</v>
      </c>
      <c r="G86" s="8">
        <v>98.49</v>
      </c>
      <c r="H86" s="8">
        <v>20.21</v>
      </c>
      <c r="L86" s="29">
        <v>112</v>
      </c>
      <c r="M86" s="29">
        <f t="shared" si="4"/>
        <v>10.41</v>
      </c>
    </row>
    <row r="87" spans="1:13" ht="14.5">
      <c r="A87" s="5">
        <v>46296</v>
      </c>
      <c r="B87" s="21">
        <v>4.33</v>
      </c>
      <c r="C87" s="25">
        <v>14.74</v>
      </c>
      <c r="D87" s="20">
        <f>EXP(LN(D86)+Modelo!$C$5*(LN(F87)-LN(F86))+Modelo!$C$6*(LN(H87)-LN(H86))+Modelo!$C$7*(LN(E87)-LN(E86))+Modelo!$C$8*(LN(G87)-LN(G86))+Modelo!$C$9*(LN(L87)-LN(L86))+Modelo!$C$11*(M87-M86)+ Modelo!$C$13+Modelo!$C$10*(LN(C87)-LN(C86))+Modelo!$C$11*(LN(B87)-LN(B86)))</f>
        <v>7.0951583093283741</v>
      </c>
      <c r="E87" s="8">
        <f>156</f>
        <v>156</v>
      </c>
      <c r="F87" s="8">
        <v>561</v>
      </c>
      <c r="G87" s="8">
        <v>98.49</v>
      </c>
      <c r="H87" s="8">
        <v>20.21</v>
      </c>
      <c r="L87" s="29">
        <v>112</v>
      </c>
      <c r="M87" s="29">
        <f t="shared" si="4"/>
        <v>10.41</v>
      </c>
    </row>
    <row r="88" spans="1:13" ht="14.5">
      <c r="A88" s="5">
        <v>46327</v>
      </c>
      <c r="B88" s="21">
        <v>4.33</v>
      </c>
      <c r="C88" s="25">
        <v>14.74</v>
      </c>
      <c r="D88" s="20">
        <f>EXP(LN(D87)+Modelo!$C$5*(LN(F88)-LN(F87))+Modelo!$C$6*(LN(H88)-LN(H87))+Modelo!$C$7*(LN(E88)-LN(E87))+Modelo!$C$8*(LN(G88)-LN(G87))+Modelo!$C$9*(LN(L88)-LN(L87))+Modelo!$C$11*(M88-M87)+ Modelo!$C$13+Modelo!$C$10*(LN(C88)-LN(C87))+Modelo!$C$11*(LN(B88)-LN(B87)))</f>
        <v>7.2081737354998854</v>
      </c>
      <c r="E88" s="8">
        <f>156</f>
        <v>156</v>
      </c>
      <c r="F88" s="8">
        <v>561</v>
      </c>
      <c r="G88" s="8">
        <v>98.49</v>
      </c>
      <c r="H88" s="8">
        <v>20.21</v>
      </c>
      <c r="L88" s="29">
        <v>112</v>
      </c>
      <c r="M88" s="29">
        <f t="shared" si="4"/>
        <v>10.41</v>
      </c>
    </row>
    <row r="89" spans="1:13" ht="14.5">
      <c r="A89" s="5">
        <v>46357</v>
      </c>
      <c r="B89" s="21">
        <v>4.33</v>
      </c>
      <c r="C89" s="25">
        <v>14.74</v>
      </c>
      <c r="D89" s="20">
        <f>EXP(LN(D88)+Modelo!$C$5*(LN(F89)-LN(F88))+Modelo!$C$6*(LN(H89)-LN(H88))+Modelo!$C$7*(LN(E89)-LN(E88))+Modelo!$C$8*(LN(G89)-LN(G88))+Modelo!$C$9*(LN(L89)-LN(L88))+Modelo!$C$11*(M89-M88)+ Modelo!$C$13+Modelo!$C$10*(LN(C89)-LN(C88))+Modelo!$C$11*(LN(B89)-LN(B88)))</f>
        <v>7.3229893310257488</v>
      </c>
      <c r="E89" s="8">
        <f>156</f>
        <v>156</v>
      </c>
      <c r="F89" s="8">
        <v>561</v>
      </c>
      <c r="G89" s="8">
        <v>98.49</v>
      </c>
      <c r="H89" s="8">
        <v>20.21</v>
      </c>
      <c r="L89" s="29">
        <v>112</v>
      </c>
      <c r="M89" s="29">
        <f t="shared" si="4"/>
        <v>10.41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C1D5-D69B-4988-A796-B32994EB21C4}">
  <dimension ref="A3:C16"/>
  <sheetViews>
    <sheetView workbookViewId="0">
      <selection activeCell="C7" sqref="C7"/>
    </sheetView>
  </sheetViews>
  <sheetFormatPr defaultRowHeight="12.5"/>
  <cols>
    <col min="1" max="1" width="9.1796875" bestFit="1" customWidth="1"/>
    <col min="2" max="2" width="36.54296875" bestFit="1" customWidth="1"/>
    <col min="3" max="3" width="9.7265625" bestFit="1" customWidth="1"/>
  </cols>
  <sheetData>
    <row r="3" spans="1:3" ht="15.5">
      <c r="B3" s="16"/>
    </row>
    <row r="4" spans="1:3">
      <c r="B4" t="s">
        <v>15</v>
      </c>
    </row>
    <row r="5" spans="1:3">
      <c r="B5" t="s">
        <v>16</v>
      </c>
      <c r="C5">
        <v>-0.26967600000000003</v>
      </c>
    </row>
    <row r="6" spans="1:3">
      <c r="B6" t="s">
        <v>17</v>
      </c>
      <c r="C6">
        <v>1.7505E-2</v>
      </c>
    </row>
    <row r="7" spans="1:3">
      <c r="B7" t="s">
        <v>18</v>
      </c>
      <c r="C7">
        <v>0.129167</v>
      </c>
    </row>
    <row r="8" spans="1:3">
      <c r="B8" t="s">
        <v>19</v>
      </c>
      <c r="C8">
        <v>0.260098</v>
      </c>
    </row>
    <row r="9" spans="1:3">
      <c r="B9" s="17" t="s">
        <v>20</v>
      </c>
      <c r="C9">
        <v>-7.0000000000000001E-3</v>
      </c>
    </row>
    <row r="10" spans="1:3">
      <c r="B10" t="s">
        <v>21</v>
      </c>
      <c r="C10">
        <v>-7.2182999999999997E-2</v>
      </c>
    </row>
    <row r="11" spans="1:3">
      <c r="B11" t="s">
        <v>22</v>
      </c>
      <c r="C11">
        <v>-1.8075999999999998E-2</v>
      </c>
    </row>
    <row r="12" spans="1:3">
      <c r="B12" t="s">
        <v>23</v>
      </c>
      <c r="C12">
        <v>-0.12970000000000001</v>
      </c>
    </row>
    <row r="13" spans="1:3">
      <c r="B13" t="s">
        <v>24</v>
      </c>
      <c r="C13">
        <v>1.5803000000000001E-2</v>
      </c>
    </row>
    <row r="14" spans="1:3" ht="15.5">
      <c r="B14" s="16"/>
    </row>
    <row r="15" spans="1:3" ht="15.5">
      <c r="B15" s="16"/>
    </row>
    <row r="16" spans="1:3" ht="15.5">
      <c r="A16" s="1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EB18FBEEB8804FAEFA90E889FDD004" ma:contentTypeVersion="4" ma:contentTypeDescription="Crie um novo documento." ma:contentTypeScope="" ma:versionID="14c50292135ba9a713949633ed14a2ee">
  <xsd:schema xmlns:xsd="http://www.w3.org/2001/XMLSchema" xmlns:xs="http://www.w3.org/2001/XMLSchema" xmlns:p="http://schemas.microsoft.com/office/2006/metadata/properties" xmlns:ns2="10bf6aaf-ab91-456a-b129-2be3f1662433" targetNamespace="http://schemas.microsoft.com/office/2006/metadata/properties" ma:root="true" ma:fieldsID="3229fbf6b39b506188fafcadb0cb2399" ns2:_="">
    <xsd:import namespace="10bf6aaf-ab91-456a-b129-2be3f166243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f6aaf-ab91-456a-b129-2be3f166243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0bf6aaf-ab91-456a-b129-2be3f1662433" xsi:nil="true"/>
  </documentManagement>
</p:properties>
</file>

<file path=customXml/itemProps1.xml><?xml version="1.0" encoding="utf-8"?>
<ds:datastoreItem xmlns:ds="http://schemas.openxmlformats.org/officeDocument/2006/customXml" ds:itemID="{7900CAA3-5FD7-4ABC-8EF4-75DCD21C4DDD}"/>
</file>

<file path=customXml/itemProps2.xml><?xml version="1.0" encoding="utf-8"?>
<ds:datastoreItem xmlns:ds="http://schemas.openxmlformats.org/officeDocument/2006/customXml" ds:itemID="{A9CCD727-62D0-4927-95B5-2C75C425CD10}"/>
</file>

<file path=customXml/itemProps3.xml><?xml version="1.0" encoding="utf-8"?>
<ds:datastoreItem xmlns:ds="http://schemas.openxmlformats.org/officeDocument/2006/customXml" ds:itemID="{6E1C2120-2888-4E4E-B23D-D410BF2638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FED</vt:lpstr>
      <vt:lpstr>Selic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</dc:creator>
  <cp:keywords/>
  <dc:description/>
  <cp:lastModifiedBy>KEVIN PEREIRA LIMA</cp:lastModifiedBy>
  <cp:revision/>
  <dcterms:created xsi:type="dcterms:W3CDTF">2025-07-07T13:57:46Z</dcterms:created>
  <dcterms:modified xsi:type="dcterms:W3CDTF">2025-07-07T19:47:27Z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0x010100DAEB18FBEEB8804FAEFA90E889FDD004</vt:lpwstr>
  </property>
</Properties>
</file>