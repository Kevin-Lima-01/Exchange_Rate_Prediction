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84886FF7-4C87-468C-A4C4-B9DB5F1770D3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Dados1" sheetId="1" r:id="rId1"/>
    <sheet name="IBOV" sheetId="4" r:id="rId2"/>
    <sheet name="SP" sheetId="3" r:id="rId3"/>
    <sheet name="Modelo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lOZrzyGwWtE5zJSUf55jssDbVox6kgULafDKn4TnAA="/>
    </ext>
  </extLst>
</workbook>
</file>

<file path=xl/calcChain.xml><?xml version="1.0" encoding="utf-8"?>
<calcChain xmlns="http://schemas.openxmlformats.org/spreadsheetml/2006/main">
  <c r="N115" i="4" l="1"/>
  <c r="B116" i="4" s="1"/>
  <c r="N117" i="3"/>
  <c r="N118" i="3"/>
  <c r="N119" i="3"/>
  <c r="N120" i="3"/>
  <c r="N121" i="3"/>
  <c r="N122" i="3"/>
  <c r="N123" i="3"/>
  <c r="N124" i="3"/>
  <c r="N125" i="3"/>
  <c r="N126" i="3"/>
  <c r="N127" i="3"/>
  <c r="N116" i="3"/>
  <c r="M100" i="4"/>
  <c r="M101" i="4"/>
  <c r="M102" i="4"/>
  <c r="M103" i="4" s="1"/>
  <c r="M104" i="4" s="1"/>
  <c r="M105" i="4" s="1"/>
  <c r="M106" i="4" s="1"/>
  <c r="M107" i="4" s="1"/>
  <c r="M108" i="4" s="1"/>
  <c r="M109" i="4" s="1"/>
  <c r="M99" i="4"/>
  <c r="N100" i="4"/>
  <c r="N101" i="4"/>
  <c r="N102" i="4"/>
  <c r="N103" i="4" s="1"/>
  <c r="N104" i="4" s="1"/>
  <c r="N105" i="4" s="1"/>
  <c r="N106" i="4" s="1"/>
  <c r="N107" i="4" s="1"/>
  <c r="N108" i="4" s="1"/>
  <c r="N109" i="4" s="1"/>
  <c r="N99" i="4"/>
  <c r="M84" i="4"/>
  <c r="M85" i="4" s="1"/>
  <c r="M86" i="4" s="1"/>
  <c r="M87" i="4" s="1"/>
  <c r="M88" i="4" s="1"/>
  <c r="M89" i="4" s="1"/>
  <c r="M90" i="4" s="1"/>
  <c r="M91" i="4" s="1"/>
  <c r="M92" i="4" s="1"/>
  <c r="M93" i="4" s="1"/>
  <c r="M83" i="4"/>
  <c r="B83" i="4"/>
  <c r="B84" i="4" s="1"/>
  <c r="B100" i="3"/>
  <c r="B101" i="3"/>
  <c r="B102" i="3"/>
  <c r="B103" i="3" s="1"/>
  <c r="B104" i="3" s="1"/>
  <c r="B105" i="3" s="1"/>
  <c r="B106" i="3" s="1"/>
  <c r="B107" i="3" s="1"/>
  <c r="B108" i="3" s="1"/>
  <c r="B109" i="3" s="1"/>
  <c r="N98" i="3"/>
  <c r="N82" i="3"/>
  <c r="B99" i="3"/>
  <c r="N99" i="3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84" i="4"/>
  <c r="N85" i="4"/>
  <c r="N86" i="4"/>
  <c r="N87" i="4" s="1"/>
  <c r="N88" i="4" s="1"/>
  <c r="N89" i="4" s="1"/>
  <c r="N90" i="4" s="1"/>
  <c r="N91" i="4" s="1"/>
  <c r="N92" i="4" s="1"/>
  <c r="N93" i="4" s="1"/>
  <c r="N83" i="4"/>
  <c r="B99" i="4"/>
  <c r="N98" i="4"/>
  <c r="N82" i="4"/>
  <c r="N83" i="3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S85" i="3"/>
  <c r="S86" i="3"/>
  <c r="B2" i="2"/>
  <c r="V76" i="1"/>
  <c r="V77" i="1"/>
  <c r="V75" i="1"/>
  <c r="B13" i="2"/>
  <c r="B12" i="2"/>
  <c r="B11" i="2"/>
  <c r="B10" i="2"/>
  <c r="B9" i="2"/>
  <c r="B8" i="2"/>
  <c r="B7" i="2"/>
  <c r="B6" i="2"/>
  <c r="X2" i="1"/>
  <c r="B5" i="2"/>
  <c r="B4" i="2"/>
  <c r="B3" i="2"/>
  <c r="Y3" i="1"/>
  <c r="R3" i="1"/>
  <c r="S3" i="1"/>
  <c r="T3" i="1"/>
  <c r="U3" i="1"/>
  <c r="V3" i="1"/>
  <c r="W3" i="1"/>
  <c r="X3" i="1"/>
  <c r="Z3" i="1"/>
  <c r="AA3" i="1"/>
  <c r="AB3" i="1"/>
  <c r="R4" i="1"/>
  <c r="S4" i="1"/>
  <c r="T4" i="1"/>
  <c r="U4" i="1"/>
  <c r="V4" i="1"/>
  <c r="W4" i="1"/>
  <c r="X4" i="1"/>
  <c r="Y4" i="1"/>
  <c r="Z4" i="1"/>
  <c r="AA4" i="1"/>
  <c r="AB4" i="1"/>
  <c r="R5" i="1"/>
  <c r="S5" i="1"/>
  <c r="T5" i="1"/>
  <c r="U5" i="1"/>
  <c r="V5" i="1"/>
  <c r="W5" i="1"/>
  <c r="X5" i="1"/>
  <c r="Y5" i="1"/>
  <c r="Z5" i="1"/>
  <c r="AA5" i="1"/>
  <c r="AB5" i="1"/>
  <c r="R6" i="1"/>
  <c r="S6" i="1"/>
  <c r="T6" i="1"/>
  <c r="U6" i="1"/>
  <c r="V6" i="1"/>
  <c r="W6" i="1"/>
  <c r="X6" i="1"/>
  <c r="Y6" i="1"/>
  <c r="Z6" i="1"/>
  <c r="AA6" i="1"/>
  <c r="AB6" i="1"/>
  <c r="R7" i="1"/>
  <c r="S7" i="1"/>
  <c r="T7" i="1"/>
  <c r="U7" i="1"/>
  <c r="V7" i="1"/>
  <c r="W7" i="1"/>
  <c r="X7" i="1"/>
  <c r="Y7" i="1"/>
  <c r="Z7" i="1"/>
  <c r="AA7" i="1"/>
  <c r="AB7" i="1"/>
  <c r="R8" i="1"/>
  <c r="S8" i="1"/>
  <c r="T8" i="1"/>
  <c r="U8" i="1"/>
  <c r="V8" i="1"/>
  <c r="W8" i="1"/>
  <c r="X8" i="1"/>
  <c r="Y8" i="1"/>
  <c r="Z8" i="1"/>
  <c r="AA8" i="1"/>
  <c r="AB8" i="1"/>
  <c r="R9" i="1"/>
  <c r="S9" i="1"/>
  <c r="T9" i="1"/>
  <c r="U9" i="1"/>
  <c r="V9" i="1"/>
  <c r="W9" i="1"/>
  <c r="X9" i="1"/>
  <c r="Y9" i="1"/>
  <c r="Z9" i="1"/>
  <c r="AA9" i="1"/>
  <c r="AB9" i="1"/>
  <c r="R10" i="1"/>
  <c r="S10" i="1"/>
  <c r="T10" i="1"/>
  <c r="U10" i="1"/>
  <c r="V10" i="1"/>
  <c r="W10" i="1"/>
  <c r="X10" i="1"/>
  <c r="Y10" i="1"/>
  <c r="Z10" i="1"/>
  <c r="AA10" i="1"/>
  <c r="AB10" i="1"/>
  <c r="R11" i="1"/>
  <c r="S11" i="1"/>
  <c r="T11" i="1"/>
  <c r="U11" i="1"/>
  <c r="V11" i="1"/>
  <c r="W11" i="1"/>
  <c r="X11" i="1"/>
  <c r="Y11" i="1"/>
  <c r="Z11" i="1"/>
  <c r="AA11" i="1"/>
  <c r="AB11" i="1"/>
  <c r="R12" i="1"/>
  <c r="S12" i="1"/>
  <c r="T12" i="1"/>
  <c r="U12" i="1"/>
  <c r="V12" i="1"/>
  <c r="W12" i="1"/>
  <c r="X12" i="1"/>
  <c r="Y12" i="1"/>
  <c r="Z12" i="1"/>
  <c r="AA12" i="1"/>
  <c r="AB12" i="1"/>
  <c r="R13" i="1"/>
  <c r="S13" i="1"/>
  <c r="T13" i="1"/>
  <c r="U13" i="1"/>
  <c r="V13" i="1"/>
  <c r="W13" i="1"/>
  <c r="X13" i="1"/>
  <c r="Y13" i="1"/>
  <c r="Z13" i="1"/>
  <c r="AA13" i="1"/>
  <c r="AB13" i="1"/>
  <c r="R14" i="1"/>
  <c r="S14" i="1"/>
  <c r="T14" i="1"/>
  <c r="U14" i="1"/>
  <c r="V14" i="1"/>
  <c r="W14" i="1"/>
  <c r="X14" i="1"/>
  <c r="Y14" i="1"/>
  <c r="Z14" i="1"/>
  <c r="AA14" i="1"/>
  <c r="AB14" i="1"/>
  <c r="R15" i="1"/>
  <c r="S15" i="1"/>
  <c r="T15" i="1"/>
  <c r="U15" i="1"/>
  <c r="V15" i="1"/>
  <c r="W15" i="1"/>
  <c r="X15" i="1"/>
  <c r="Y15" i="1"/>
  <c r="Z15" i="1"/>
  <c r="AA15" i="1"/>
  <c r="AB15" i="1"/>
  <c r="R16" i="1"/>
  <c r="S16" i="1"/>
  <c r="T16" i="1"/>
  <c r="U16" i="1"/>
  <c r="V16" i="1"/>
  <c r="W16" i="1"/>
  <c r="X16" i="1"/>
  <c r="Y16" i="1"/>
  <c r="Z16" i="1"/>
  <c r="AA16" i="1"/>
  <c r="AB16" i="1"/>
  <c r="R17" i="1"/>
  <c r="S17" i="1"/>
  <c r="T17" i="1"/>
  <c r="U17" i="1"/>
  <c r="V17" i="1"/>
  <c r="W17" i="1"/>
  <c r="X17" i="1"/>
  <c r="Y17" i="1"/>
  <c r="Z17" i="1"/>
  <c r="AA17" i="1"/>
  <c r="AB17" i="1"/>
  <c r="R18" i="1"/>
  <c r="S18" i="1"/>
  <c r="T18" i="1"/>
  <c r="U18" i="1"/>
  <c r="V18" i="1"/>
  <c r="W18" i="1"/>
  <c r="X18" i="1"/>
  <c r="Y18" i="1"/>
  <c r="Z18" i="1"/>
  <c r="AA18" i="1"/>
  <c r="AB18" i="1"/>
  <c r="R19" i="1"/>
  <c r="S19" i="1"/>
  <c r="T19" i="1"/>
  <c r="U19" i="1"/>
  <c r="V19" i="1"/>
  <c r="W19" i="1"/>
  <c r="X19" i="1"/>
  <c r="Y19" i="1"/>
  <c r="Z19" i="1"/>
  <c r="AA19" i="1"/>
  <c r="AB19" i="1"/>
  <c r="R20" i="1"/>
  <c r="S20" i="1"/>
  <c r="T20" i="1"/>
  <c r="U20" i="1"/>
  <c r="V20" i="1"/>
  <c r="W20" i="1"/>
  <c r="X20" i="1"/>
  <c r="Y20" i="1"/>
  <c r="Z20" i="1"/>
  <c r="AA20" i="1"/>
  <c r="AB20" i="1"/>
  <c r="R21" i="1"/>
  <c r="S21" i="1"/>
  <c r="T21" i="1"/>
  <c r="U21" i="1"/>
  <c r="V21" i="1"/>
  <c r="W21" i="1"/>
  <c r="X21" i="1"/>
  <c r="Y21" i="1"/>
  <c r="Z21" i="1"/>
  <c r="AA21" i="1"/>
  <c r="AB21" i="1"/>
  <c r="R22" i="1"/>
  <c r="S22" i="1"/>
  <c r="T22" i="1"/>
  <c r="U22" i="1"/>
  <c r="V22" i="1"/>
  <c r="W22" i="1"/>
  <c r="X22" i="1"/>
  <c r="Y22" i="1"/>
  <c r="Z22" i="1"/>
  <c r="AA22" i="1"/>
  <c r="AB22" i="1"/>
  <c r="R23" i="1"/>
  <c r="S23" i="1"/>
  <c r="T23" i="1"/>
  <c r="U23" i="1"/>
  <c r="V23" i="1"/>
  <c r="W23" i="1"/>
  <c r="X23" i="1"/>
  <c r="Y23" i="1"/>
  <c r="Z23" i="1"/>
  <c r="AA23" i="1"/>
  <c r="AB23" i="1"/>
  <c r="R24" i="1"/>
  <c r="S24" i="1"/>
  <c r="T24" i="1"/>
  <c r="U24" i="1"/>
  <c r="V24" i="1"/>
  <c r="W24" i="1"/>
  <c r="X24" i="1"/>
  <c r="Y24" i="1"/>
  <c r="Z24" i="1"/>
  <c r="AA24" i="1"/>
  <c r="AB24" i="1"/>
  <c r="R25" i="1"/>
  <c r="S25" i="1"/>
  <c r="T25" i="1"/>
  <c r="U25" i="1"/>
  <c r="V25" i="1"/>
  <c r="W25" i="1"/>
  <c r="X25" i="1"/>
  <c r="Y25" i="1"/>
  <c r="Z25" i="1"/>
  <c r="AA25" i="1"/>
  <c r="AB25" i="1"/>
  <c r="R26" i="1"/>
  <c r="S26" i="1"/>
  <c r="T26" i="1"/>
  <c r="U26" i="1"/>
  <c r="V26" i="1"/>
  <c r="W26" i="1"/>
  <c r="X26" i="1"/>
  <c r="Y26" i="1"/>
  <c r="Z26" i="1"/>
  <c r="AA26" i="1"/>
  <c r="AB26" i="1"/>
  <c r="R27" i="1"/>
  <c r="S27" i="1"/>
  <c r="T27" i="1"/>
  <c r="U27" i="1"/>
  <c r="V27" i="1"/>
  <c r="W27" i="1"/>
  <c r="X27" i="1"/>
  <c r="Y27" i="1"/>
  <c r="Z27" i="1"/>
  <c r="AA27" i="1"/>
  <c r="AB27" i="1"/>
  <c r="R28" i="1"/>
  <c r="S28" i="1"/>
  <c r="T28" i="1"/>
  <c r="U28" i="1"/>
  <c r="V28" i="1"/>
  <c r="W28" i="1"/>
  <c r="X28" i="1"/>
  <c r="Y28" i="1"/>
  <c r="Z28" i="1"/>
  <c r="AA28" i="1"/>
  <c r="AB28" i="1"/>
  <c r="R29" i="1"/>
  <c r="S29" i="1"/>
  <c r="T29" i="1"/>
  <c r="U29" i="1"/>
  <c r="V29" i="1"/>
  <c r="W29" i="1"/>
  <c r="X29" i="1"/>
  <c r="Y29" i="1"/>
  <c r="Z29" i="1"/>
  <c r="AA29" i="1"/>
  <c r="AB29" i="1"/>
  <c r="R30" i="1"/>
  <c r="S30" i="1"/>
  <c r="T30" i="1"/>
  <c r="U30" i="1"/>
  <c r="V30" i="1"/>
  <c r="W30" i="1"/>
  <c r="X30" i="1"/>
  <c r="Y30" i="1"/>
  <c r="Z30" i="1"/>
  <c r="AA30" i="1"/>
  <c r="AB30" i="1"/>
  <c r="R31" i="1"/>
  <c r="S31" i="1"/>
  <c r="T31" i="1"/>
  <c r="U31" i="1"/>
  <c r="V31" i="1"/>
  <c r="W31" i="1"/>
  <c r="X31" i="1"/>
  <c r="Y31" i="1"/>
  <c r="Z31" i="1"/>
  <c r="AA31" i="1"/>
  <c r="AB31" i="1"/>
  <c r="R32" i="1"/>
  <c r="S32" i="1"/>
  <c r="T32" i="1"/>
  <c r="U32" i="1"/>
  <c r="V32" i="1"/>
  <c r="W32" i="1"/>
  <c r="X32" i="1"/>
  <c r="Y32" i="1"/>
  <c r="Z32" i="1"/>
  <c r="AA32" i="1"/>
  <c r="AB32" i="1"/>
  <c r="R33" i="1"/>
  <c r="S33" i="1"/>
  <c r="T33" i="1"/>
  <c r="U33" i="1"/>
  <c r="V33" i="1"/>
  <c r="W33" i="1"/>
  <c r="X33" i="1"/>
  <c r="Y33" i="1"/>
  <c r="Z33" i="1"/>
  <c r="AA33" i="1"/>
  <c r="AB33" i="1"/>
  <c r="R34" i="1"/>
  <c r="S34" i="1"/>
  <c r="T34" i="1"/>
  <c r="U34" i="1"/>
  <c r="V34" i="1"/>
  <c r="W34" i="1"/>
  <c r="X34" i="1"/>
  <c r="Y34" i="1"/>
  <c r="Z34" i="1"/>
  <c r="AA34" i="1"/>
  <c r="AB34" i="1"/>
  <c r="R35" i="1"/>
  <c r="S35" i="1"/>
  <c r="T35" i="1"/>
  <c r="U35" i="1"/>
  <c r="V35" i="1"/>
  <c r="W35" i="1"/>
  <c r="X35" i="1"/>
  <c r="Y35" i="1"/>
  <c r="Z35" i="1"/>
  <c r="AA35" i="1"/>
  <c r="AB35" i="1"/>
  <c r="R36" i="1"/>
  <c r="S36" i="1"/>
  <c r="T36" i="1"/>
  <c r="U36" i="1"/>
  <c r="V36" i="1"/>
  <c r="W36" i="1"/>
  <c r="X36" i="1"/>
  <c r="Y36" i="1"/>
  <c r="Z36" i="1"/>
  <c r="AA36" i="1"/>
  <c r="AB36" i="1"/>
  <c r="R37" i="1"/>
  <c r="S37" i="1"/>
  <c r="T37" i="1"/>
  <c r="U37" i="1"/>
  <c r="V37" i="1"/>
  <c r="W37" i="1"/>
  <c r="X37" i="1"/>
  <c r="Y37" i="1"/>
  <c r="Z37" i="1"/>
  <c r="AA37" i="1"/>
  <c r="AB37" i="1"/>
  <c r="R38" i="1"/>
  <c r="S38" i="1"/>
  <c r="T38" i="1"/>
  <c r="U38" i="1"/>
  <c r="V38" i="1"/>
  <c r="W38" i="1"/>
  <c r="X38" i="1"/>
  <c r="Y38" i="1"/>
  <c r="Z38" i="1"/>
  <c r="AA38" i="1"/>
  <c r="AB38" i="1"/>
  <c r="R39" i="1"/>
  <c r="S39" i="1"/>
  <c r="T39" i="1"/>
  <c r="U39" i="1"/>
  <c r="V39" i="1"/>
  <c r="W39" i="1"/>
  <c r="X39" i="1"/>
  <c r="Y39" i="1"/>
  <c r="Z39" i="1"/>
  <c r="AA39" i="1"/>
  <c r="AB39" i="1"/>
  <c r="R40" i="1"/>
  <c r="S40" i="1"/>
  <c r="T40" i="1"/>
  <c r="U40" i="1"/>
  <c r="V40" i="1"/>
  <c r="W40" i="1"/>
  <c r="X40" i="1"/>
  <c r="Y40" i="1"/>
  <c r="Z40" i="1"/>
  <c r="AA40" i="1"/>
  <c r="AB40" i="1"/>
  <c r="R41" i="1"/>
  <c r="S41" i="1"/>
  <c r="T41" i="1"/>
  <c r="U41" i="1"/>
  <c r="V41" i="1"/>
  <c r="W41" i="1"/>
  <c r="X41" i="1"/>
  <c r="Y41" i="1"/>
  <c r="Z41" i="1"/>
  <c r="AA41" i="1"/>
  <c r="AB41" i="1"/>
  <c r="R42" i="1"/>
  <c r="S42" i="1"/>
  <c r="T42" i="1"/>
  <c r="U42" i="1"/>
  <c r="V42" i="1"/>
  <c r="W42" i="1"/>
  <c r="X42" i="1"/>
  <c r="Y42" i="1"/>
  <c r="Z42" i="1"/>
  <c r="AA42" i="1"/>
  <c r="AB42" i="1"/>
  <c r="R43" i="1"/>
  <c r="S43" i="1"/>
  <c r="T43" i="1"/>
  <c r="U43" i="1"/>
  <c r="V43" i="1"/>
  <c r="W43" i="1"/>
  <c r="X43" i="1"/>
  <c r="Y43" i="1"/>
  <c r="Z43" i="1"/>
  <c r="AA43" i="1"/>
  <c r="AB43" i="1"/>
  <c r="R44" i="1"/>
  <c r="S44" i="1"/>
  <c r="T44" i="1"/>
  <c r="U44" i="1"/>
  <c r="V44" i="1"/>
  <c r="W44" i="1"/>
  <c r="X44" i="1"/>
  <c r="Y44" i="1"/>
  <c r="Z44" i="1"/>
  <c r="AA44" i="1"/>
  <c r="AB44" i="1"/>
  <c r="R45" i="1"/>
  <c r="S45" i="1"/>
  <c r="T45" i="1"/>
  <c r="U45" i="1"/>
  <c r="V45" i="1"/>
  <c r="W45" i="1"/>
  <c r="X45" i="1"/>
  <c r="Y45" i="1"/>
  <c r="Z45" i="1"/>
  <c r="AA45" i="1"/>
  <c r="AB45" i="1"/>
  <c r="R46" i="1"/>
  <c r="S46" i="1"/>
  <c r="T46" i="1"/>
  <c r="U46" i="1"/>
  <c r="V46" i="1"/>
  <c r="W46" i="1"/>
  <c r="X46" i="1"/>
  <c r="Y46" i="1"/>
  <c r="Z46" i="1"/>
  <c r="AA46" i="1"/>
  <c r="AB46" i="1"/>
  <c r="R47" i="1"/>
  <c r="S47" i="1"/>
  <c r="T47" i="1"/>
  <c r="U47" i="1"/>
  <c r="V47" i="1"/>
  <c r="W47" i="1"/>
  <c r="X47" i="1"/>
  <c r="Y47" i="1"/>
  <c r="Z47" i="1"/>
  <c r="AA47" i="1"/>
  <c r="AB47" i="1"/>
  <c r="R48" i="1"/>
  <c r="S48" i="1"/>
  <c r="T48" i="1"/>
  <c r="U48" i="1"/>
  <c r="V48" i="1"/>
  <c r="W48" i="1"/>
  <c r="X48" i="1"/>
  <c r="Y48" i="1"/>
  <c r="Z48" i="1"/>
  <c r="AA48" i="1"/>
  <c r="AB48" i="1"/>
  <c r="R49" i="1"/>
  <c r="S49" i="1"/>
  <c r="T49" i="1"/>
  <c r="U49" i="1"/>
  <c r="V49" i="1"/>
  <c r="W49" i="1"/>
  <c r="X49" i="1"/>
  <c r="Y49" i="1"/>
  <c r="Z49" i="1"/>
  <c r="AA49" i="1"/>
  <c r="AB49" i="1"/>
  <c r="R50" i="1"/>
  <c r="S50" i="1"/>
  <c r="T50" i="1"/>
  <c r="U50" i="1"/>
  <c r="V50" i="1"/>
  <c r="W50" i="1"/>
  <c r="X50" i="1"/>
  <c r="Y50" i="1"/>
  <c r="Z50" i="1"/>
  <c r="AA50" i="1"/>
  <c r="AB50" i="1"/>
  <c r="R51" i="1"/>
  <c r="S51" i="1"/>
  <c r="T51" i="1"/>
  <c r="U51" i="1"/>
  <c r="V51" i="1"/>
  <c r="W51" i="1"/>
  <c r="X51" i="1"/>
  <c r="Y51" i="1"/>
  <c r="Z51" i="1"/>
  <c r="AA51" i="1"/>
  <c r="AB51" i="1"/>
  <c r="R52" i="1"/>
  <c r="S52" i="1"/>
  <c r="T52" i="1"/>
  <c r="U52" i="1"/>
  <c r="V52" i="1"/>
  <c r="W52" i="1"/>
  <c r="X52" i="1"/>
  <c r="Y52" i="1"/>
  <c r="Z52" i="1"/>
  <c r="AA52" i="1"/>
  <c r="AB52" i="1"/>
  <c r="R53" i="1"/>
  <c r="S53" i="1"/>
  <c r="T53" i="1"/>
  <c r="U53" i="1"/>
  <c r="V53" i="1"/>
  <c r="W53" i="1"/>
  <c r="X53" i="1"/>
  <c r="Y53" i="1"/>
  <c r="Z53" i="1"/>
  <c r="AA53" i="1"/>
  <c r="AB53" i="1"/>
  <c r="R54" i="1"/>
  <c r="S54" i="1"/>
  <c r="T54" i="1"/>
  <c r="U54" i="1"/>
  <c r="V54" i="1"/>
  <c r="W54" i="1"/>
  <c r="X54" i="1"/>
  <c r="Y54" i="1"/>
  <c r="Z54" i="1"/>
  <c r="AA54" i="1"/>
  <c r="AB54" i="1"/>
  <c r="R55" i="1"/>
  <c r="S55" i="1"/>
  <c r="T55" i="1"/>
  <c r="U55" i="1"/>
  <c r="V55" i="1"/>
  <c r="W55" i="1"/>
  <c r="X55" i="1"/>
  <c r="Y55" i="1"/>
  <c r="Z55" i="1"/>
  <c r="AA55" i="1"/>
  <c r="AB55" i="1"/>
  <c r="R56" i="1"/>
  <c r="S56" i="1"/>
  <c r="T56" i="1"/>
  <c r="U56" i="1"/>
  <c r="V56" i="1"/>
  <c r="W56" i="1"/>
  <c r="X56" i="1"/>
  <c r="Y56" i="1"/>
  <c r="Z56" i="1"/>
  <c r="AA56" i="1"/>
  <c r="AB56" i="1"/>
  <c r="R57" i="1"/>
  <c r="S57" i="1"/>
  <c r="T57" i="1"/>
  <c r="U57" i="1"/>
  <c r="V57" i="1"/>
  <c r="W57" i="1"/>
  <c r="X57" i="1"/>
  <c r="Y57" i="1"/>
  <c r="Z57" i="1"/>
  <c r="AA57" i="1"/>
  <c r="AB57" i="1"/>
  <c r="R58" i="1"/>
  <c r="S58" i="1"/>
  <c r="T58" i="1"/>
  <c r="U58" i="1"/>
  <c r="V58" i="1"/>
  <c r="W58" i="1"/>
  <c r="X58" i="1"/>
  <c r="Y58" i="1"/>
  <c r="Z58" i="1"/>
  <c r="AA58" i="1"/>
  <c r="AB58" i="1"/>
  <c r="R59" i="1"/>
  <c r="S59" i="1"/>
  <c r="T59" i="1"/>
  <c r="U59" i="1"/>
  <c r="V59" i="1"/>
  <c r="W59" i="1"/>
  <c r="X59" i="1"/>
  <c r="Y59" i="1"/>
  <c r="Z59" i="1"/>
  <c r="AA59" i="1"/>
  <c r="AB59" i="1"/>
  <c r="R60" i="1"/>
  <c r="S60" i="1"/>
  <c r="T60" i="1"/>
  <c r="U60" i="1"/>
  <c r="V60" i="1"/>
  <c r="W60" i="1"/>
  <c r="X60" i="1"/>
  <c r="Y60" i="1"/>
  <c r="Z60" i="1"/>
  <c r="AA60" i="1"/>
  <c r="AB60" i="1"/>
  <c r="R61" i="1"/>
  <c r="S61" i="1"/>
  <c r="T61" i="1"/>
  <c r="U61" i="1"/>
  <c r="V61" i="1"/>
  <c r="W61" i="1"/>
  <c r="X61" i="1"/>
  <c r="Y61" i="1"/>
  <c r="Z61" i="1"/>
  <c r="AA61" i="1"/>
  <c r="AB61" i="1"/>
  <c r="R62" i="1"/>
  <c r="S62" i="1"/>
  <c r="T62" i="1"/>
  <c r="U62" i="1"/>
  <c r="V62" i="1"/>
  <c r="W62" i="1"/>
  <c r="X62" i="1"/>
  <c r="Y62" i="1"/>
  <c r="Z62" i="1"/>
  <c r="AA62" i="1"/>
  <c r="AB62" i="1"/>
  <c r="R63" i="1"/>
  <c r="S63" i="1"/>
  <c r="T63" i="1"/>
  <c r="U63" i="1"/>
  <c r="V63" i="1"/>
  <c r="W63" i="1"/>
  <c r="X63" i="1"/>
  <c r="Y63" i="1"/>
  <c r="Z63" i="1"/>
  <c r="AA63" i="1"/>
  <c r="AB63" i="1"/>
  <c r="R64" i="1"/>
  <c r="S64" i="1"/>
  <c r="T64" i="1"/>
  <c r="U64" i="1"/>
  <c r="V64" i="1"/>
  <c r="W64" i="1"/>
  <c r="X64" i="1"/>
  <c r="Y64" i="1"/>
  <c r="Z64" i="1"/>
  <c r="AA64" i="1"/>
  <c r="AB64" i="1"/>
  <c r="R65" i="1"/>
  <c r="S65" i="1"/>
  <c r="T65" i="1"/>
  <c r="U65" i="1"/>
  <c r="V65" i="1"/>
  <c r="W65" i="1"/>
  <c r="X65" i="1"/>
  <c r="Y65" i="1"/>
  <c r="Z65" i="1"/>
  <c r="AA65" i="1"/>
  <c r="AB65" i="1"/>
  <c r="R66" i="1"/>
  <c r="S66" i="1"/>
  <c r="T66" i="1"/>
  <c r="U66" i="1"/>
  <c r="V66" i="1"/>
  <c r="W66" i="1"/>
  <c r="X66" i="1"/>
  <c r="Y66" i="1"/>
  <c r="Z66" i="1"/>
  <c r="AA66" i="1"/>
  <c r="AB66" i="1"/>
  <c r="R67" i="1"/>
  <c r="S67" i="1"/>
  <c r="T67" i="1"/>
  <c r="U67" i="1"/>
  <c r="V67" i="1"/>
  <c r="W67" i="1"/>
  <c r="X67" i="1"/>
  <c r="Y67" i="1"/>
  <c r="Z67" i="1"/>
  <c r="AA67" i="1"/>
  <c r="AB67" i="1"/>
  <c r="R68" i="1"/>
  <c r="S68" i="1"/>
  <c r="T68" i="1"/>
  <c r="U68" i="1"/>
  <c r="V68" i="1"/>
  <c r="W68" i="1"/>
  <c r="X68" i="1"/>
  <c r="Y68" i="1"/>
  <c r="Z68" i="1"/>
  <c r="AA68" i="1"/>
  <c r="AB68" i="1"/>
  <c r="R69" i="1"/>
  <c r="S69" i="1"/>
  <c r="T69" i="1"/>
  <c r="U69" i="1"/>
  <c r="V69" i="1"/>
  <c r="W69" i="1"/>
  <c r="X69" i="1"/>
  <c r="Y69" i="1"/>
  <c r="Z69" i="1"/>
  <c r="AA69" i="1"/>
  <c r="AB69" i="1"/>
  <c r="R70" i="1"/>
  <c r="S70" i="1"/>
  <c r="T70" i="1"/>
  <c r="U70" i="1"/>
  <c r="V70" i="1"/>
  <c r="W70" i="1"/>
  <c r="X70" i="1"/>
  <c r="Y70" i="1"/>
  <c r="Z70" i="1"/>
  <c r="AA70" i="1"/>
  <c r="AB70" i="1"/>
  <c r="R71" i="1"/>
  <c r="S71" i="1"/>
  <c r="T71" i="1"/>
  <c r="U71" i="1"/>
  <c r="V71" i="1"/>
  <c r="W71" i="1"/>
  <c r="X71" i="1"/>
  <c r="Y71" i="1"/>
  <c r="Z71" i="1"/>
  <c r="AA71" i="1"/>
  <c r="AB71" i="1"/>
  <c r="R72" i="1"/>
  <c r="S72" i="1"/>
  <c r="T72" i="1"/>
  <c r="U72" i="1"/>
  <c r="V72" i="1"/>
  <c r="W72" i="1"/>
  <c r="X72" i="1"/>
  <c r="Y72" i="1"/>
  <c r="Z72" i="1"/>
  <c r="AA72" i="1"/>
  <c r="AB72" i="1"/>
  <c r="R73" i="1"/>
  <c r="S73" i="1"/>
  <c r="T73" i="1"/>
  <c r="U73" i="1"/>
  <c r="V73" i="1"/>
  <c r="W73" i="1"/>
  <c r="X73" i="1"/>
  <c r="Y73" i="1"/>
  <c r="Z73" i="1"/>
  <c r="AA73" i="1"/>
  <c r="AB73" i="1"/>
  <c r="R74" i="1"/>
  <c r="S74" i="1"/>
  <c r="T74" i="1"/>
  <c r="U74" i="1"/>
  <c r="V74" i="1"/>
  <c r="W74" i="1"/>
  <c r="X74" i="1"/>
  <c r="Y74" i="1"/>
  <c r="Z74" i="1"/>
  <c r="AA74" i="1"/>
  <c r="AB74" i="1"/>
  <c r="R75" i="1"/>
  <c r="S75" i="1"/>
  <c r="T75" i="1"/>
  <c r="U75" i="1"/>
  <c r="W75" i="1"/>
  <c r="X75" i="1"/>
  <c r="Y75" i="1"/>
  <c r="Z75" i="1"/>
  <c r="AA75" i="1"/>
  <c r="AB75" i="1"/>
  <c r="R76" i="1"/>
  <c r="S76" i="1"/>
  <c r="T76" i="1"/>
  <c r="U76" i="1"/>
  <c r="W76" i="1"/>
  <c r="X76" i="1"/>
  <c r="Y76" i="1"/>
  <c r="Z76" i="1"/>
  <c r="AA76" i="1"/>
  <c r="AB76" i="1"/>
  <c r="R77" i="1"/>
  <c r="S77" i="1"/>
  <c r="T77" i="1"/>
  <c r="U77" i="1"/>
  <c r="W77" i="1"/>
  <c r="X77" i="1"/>
  <c r="Y77" i="1"/>
  <c r="Z77" i="1"/>
  <c r="AA77" i="1"/>
  <c r="AB77" i="1"/>
  <c r="R78" i="1"/>
  <c r="S78" i="1"/>
  <c r="T78" i="1"/>
  <c r="U78" i="1"/>
  <c r="V78" i="1"/>
  <c r="W78" i="1"/>
  <c r="X78" i="1"/>
  <c r="Y78" i="1"/>
  <c r="Z78" i="1"/>
  <c r="AA78" i="1"/>
  <c r="AB78" i="1"/>
  <c r="R79" i="1"/>
  <c r="S79" i="1"/>
  <c r="T79" i="1"/>
  <c r="U79" i="1"/>
  <c r="V79" i="1"/>
  <c r="W79" i="1"/>
  <c r="X79" i="1"/>
  <c r="Y79" i="1"/>
  <c r="Z79" i="1"/>
  <c r="AA79" i="1"/>
  <c r="AB79" i="1"/>
  <c r="R80" i="1"/>
  <c r="S80" i="1"/>
  <c r="T80" i="1"/>
  <c r="U80" i="1"/>
  <c r="V80" i="1"/>
  <c r="W80" i="1"/>
  <c r="X80" i="1"/>
  <c r="Y80" i="1"/>
  <c r="Z80" i="1"/>
  <c r="AA80" i="1"/>
  <c r="AB80" i="1"/>
  <c r="R81" i="1"/>
  <c r="S81" i="1"/>
  <c r="T81" i="1"/>
  <c r="U81" i="1"/>
  <c r="V81" i="1"/>
  <c r="W81" i="1"/>
  <c r="X81" i="1"/>
  <c r="Y81" i="1"/>
  <c r="Z81" i="1"/>
  <c r="AA81" i="1"/>
  <c r="AB81" i="1"/>
  <c r="R82" i="1"/>
  <c r="S82" i="1"/>
  <c r="T82" i="1"/>
  <c r="U82" i="1"/>
  <c r="V82" i="1"/>
  <c r="W82" i="1"/>
  <c r="X82" i="1"/>
  <c r="Y82" i="1"/>
  <c r="Z82" i="1"/>
  <c r="AA82" i="1"/>
  <c r="AB82" i="1"/>
  <c r="R83" i="1"/>
  <c r="S83" i="1"/>
  <c r="T83" i="1"/>
  <c r="U83" i="1"/>
  <c r="V83" i="1"/>
  <c r="W83" i="1"/>
  <c r="X83" i="1"/>
  <c r="Y83" i="1"/>
  <c r="Z83" i="1"/>
  <c r="AA83" i="1"/>
  <c r="AB83" i="1"/>
  <c r="R84" i="1"/>
  <c r="S84" i="1"/>
  <c r="T84" i="1"/>
  <c r="U84" i="1"/>
  <c r="V84" i="1"/>
  <c r="W84" i="1"/>
  <c r="X84" i="1"/>
  <c r="Y84" i="1"/>
  <c r="Z84" i="1"/>
  <c r="AA84" i="1"/>
  <c r="AB84" i="1"/>
  <c r="R85" i="1"/>
  <c r="S85" i="1"/>
  <c r="T85" i="1"/>
  <c r="U85" i="1"/>
  <c r="V85" i="1"/>
  <c r="W85" i="1"/>
  <c r="X85" i="1"/>
  <c r="Y85" i="1"/>
  <c r="Z85" i="1"/>
  <c r="AA85" i="1"/>
  <c r="AB85" i="1"/>
  <c r="R86" i="1"/>
  <c r="S86" i="1"/>
  <c r="T86" i="1"/>
  <c r="U86" i="1"/>
  <c r="V86" i="1"/>
  <c r="W86" i="1"/>
  <c r="X86" i="1"/>
  <c r="Y86" i="1"/>
  <c r="Z86" i="1"/>
  <c r="AA86" i="1"/>
  <c r="AB86" i="1"/>
  <c r="R87" i="1"/>
  <c r="S87" i="1"/>
  <c r="T87" i="1"/>
  <c r="U87" i="1"/>
  <c r="V87" i="1"/>
  <c r="W87" i="1"/>
  <c r="X87" i="1"/>
  <c r="Y87" i="1"/>
  <c r="Z87" i="1"/>
  <c r="AA87" i="1"/>
  <c r="AB87" i="1"/>
  <c r="R88" i="1"/>
  <c r="S88" i="1"/>
  <c r="T88" i="1"/>
  <c r="U88" i="1"/>
  <c r="V88" i="1"/>
  <c r="W88" i="1"/>
  <c r="X88" i="1"/>
  <c r="Y88" i="1"/>
  <c r="Z88" i="1"/>
  <c r="AA88" i="1"/>
  <c r="AB88" i="1"/>
  <c r="R89" i="1"/>
  <c r="S89" i="1"/>
  <c r="T89" i="1"/>
  <c r="U89" i="1"/>
  <c r="V89" i="1"/>
  <c r="W89" i="1"/>
  <c r="X89" i="1"/>
  <c r="Y89" i="1"/>
  <c r="Z89" i="1"/>
  <c r="AA89" i="1"/>
  <c r="AB89" i="1"/>
  <c r="R90" i="1"/>
  <c r="S90" i="1"/>
  <c r="T90" i="1"/>
  <c r="U90" i="1"/>
  <c r="V90" i="1"/>
  <c r="W90" i="1"/>
  <c r="X90" i="1"/>
  <c r="Y90" i="1"/>
  <c r="Z90" i="1"/>
  <c r="AA90" i="1"/>
  <c r="AB90" i="1"/>
  <c r="R91" i="1"/>
  <c r="S91" i="1"/>
  <c r="T91" i="1"/>
  <c r="U91" i="1"/>
  <c r="V91" i="1"/>
  <c r="W91" i="1"/>
  <c r="X91" i="1"/>
  <c r="Y91" i="1"/>
  <c r="Z91" i="1"/>
  <c r="AA91" i="1"/>
  <c r="AB91" i="1"/>
  <c r="R92" i="1"/>
  <c r="S92" i="1"/>
  <c r="T92" i="1"/>
  <c r="U92" i="1"/>
  <c r="V92" i="1"/>
  <c r="W92" i="1"/>
  <c r="X92" i="1"/>
  <c r="Y92" i="1"/>
  <c r="Z92" i="1"/>
  <c r="AA92" i="1"/>
  <c r="AB92" i="1"/>
  <c r="R93" i="1"/>
  <c r="S93" i="1"/>
  <c r="T93" i="1"/>
  <c r="U93" i="1"/>
  <c r="V93" i="1"/>
  <c r="W93" i="1"/>
  <c r="X93" i="1"/>
  <c r="Y93" i="1"/>
  <c r="Z93" i="1"/>
  <c r="AA93" i="1"/>
  <c r="AB93" i="1"/>
  <c r="R94" i="1"/>
  <c r="S94" i="1"/>
  <c r="T94" i="1"/>
  <c r="U94" i="1"/>
  <c r="V94" i="1"/>
  <c r="W94" i="1"/>
  <c r="X94" i="1"/>
  <c r="Y94" i="1"/>
  <c r="Z94" i="1"/>
  <c r="AA94" i="1"/>
  <c r="AB94" i="1"/>
  <c r="AB2" i="1"/>
  <c r="R2" i="1"/>
  <c r="S2" i="1"/>
  <c r="T2" i="1"/>
  <c r="U2" i="1"/>
  <c r="V2" i="1"/>
  <c r="W2" i="1"/>
  <c r="Y2" i="1"/>
  <c r="Z2" i="1"/>
  <c r="AA2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2" i="1"/>
  <c r="J87" i="1"/>
  <c r="J88" i="1" s="1"/>
  <c r="J89" i="1" s="1"/>
  <c r="J90" i="1" s="1"/>
  <c r="J91" i="1" s="1"/>
  <c r="J92" i="1" s="1"/>
  <c r="J93" i="1" s="1"/>
  <c r="J94" i="1" s="1"/>
  <c r="B117" i="4" l="1"/>
  <c r="B118" i="4" s="1"/>
  <c r="B119" i="4" s="1"/>
  <c r="B120" i="4" s="1"/>
  <c r="B121" i="4" s="1"/>
  <c r="B122" i="4" s="1"/>
  <c r="B123" i="4" s="1"/>
  <c r="B124" i="4" s="1"/>
  <c r="B125" i="4" s="1"/>
  <c r="B126" i="4" s="1"/>
  <c r="N116" i="4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B117" i="3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85" i="4"/>
  <c r="B86" i="4"/>
  <c r="B87" i="4" s="1"/>
  <c r="B88" i="4" s="1"/>
  <c r="B89" i="4" s="1"/>
  <c r="B90" i="4" s="1"/>
  <c r="B91" i="4" s="1"/>
  <c r="B92" i="4" s="1"/>
  <c r="B93" i="4" s="1"/>
  <c r="B83" i="3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100" i="4"/>
  <c r="B101" i="4" s="1"/>
  <c r="B102" i="4" s="1"/>
  <c r="B103" i="4" s="1"/>
  <c r="B104" i="4" s="1"/>
  <c r="B105" i="4" s="1"/>
  <c r="B106" i="4" s="1"/>
  <c r="B107" i="4" s="1"/>
  <c r="B108" i="4" s="1"/>
  <c r="B109" i="4" s="1"/>
</calcChain>
</file>

<file path=xl/sharedStrings.xml><?xml version="1.0" encoding="utf-8"?>
<sst xmlns="http://schemas.openxmlformats.org/spreadsheetml/2006/main" count="438" uniqueCount="148">
  <si>
    <t>Data</t>
  </si>
  <si>
    <t>CAMBIOREAL</t>
  </si>
  <si>
    <t>CDS_5_ANOS</t>
  </si>
  <si>
    <t>PASSEXTERNO</t>
  </si>
  <si>
    <t>TOTL</t>
  </si>
  <si>
    <t>VIXFINAL</t>
  </si>
  <si>
    <t>DIVBRUTA</t>
  </si>
  <si>
    <t>SWAPREAL</t>
  </si>
  <si>
    <t>CRB</t>
  </si>
  <si>
    <t>IBCBR</t>
  </si>
  <si>
    <t>USPROD</t>
  </si>
  <si>
    <t>RESERVAS</t>
  </si>
  <si>
    <t>IBOV</t>
  </si>
  <si>
    <t>SeP</t>
  </si>
  <si>
    <t>LCAMBIOREAL</t>
  </si>
  <si>
    <t>LCDS_5_ANOS</t>
  </si>
  <si>
    <t>LPASSEXTERNO</t>
  </si>
  <si>
    <t>LTOTL</t>
  </si>
  <si>
    <t>LVIXFINAL</t>
  </si>
  <si>
    <t>LDIVBRUTA</t>
  </si>
  <si>
    <t>LSWAPREAL</t>
  </si>
  <si>
    <t>LCRB</t>
  </si>
  <si>
    <t>LIBCBR</t>
  </si>
  <si>
    <t>LUSPROD</t>
  </si>
  <si>
    <t>LRESERVAS</t>
  </si>
  <si>
    <t>LIBOV</t>
  </si>
  <si>
    <t>LSeP</t>
  </si>
  <si>
    <t>D0804</t>
  </si>
  <si>
    <t>D1503</t>
  </si>
  <si>
    <t>D2002</t>
  </si>
  <si>
    <t>D1301</t>
  </si>
  <si>
    <t>D2018</t>
  </si>
  <si>
    <t>D2024</t>
  </si>
  <si>
    <t>2002Q1</t>
  </si>
  <si>
    <t>NA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</si>
  <si>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</si>
  <si>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</si>
  <si>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</si>
  <si>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</si>
  <si>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</si>
  <si>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</si>
  <si>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</si>
  <si>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</si>
  <si>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</si>
  <si>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</si>
  <si>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</si>
  <si>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</si>
  <si>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</si>
  <si>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</si>
  <si>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</si>
  <si>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</si>
  <si>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</si>
  <si>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</si>
  <si>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</si>
  <si>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</si>
  <si>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</si>
  <si>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</si>
  <si>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</si>
  <si>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</si>
  <si>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</si>
  <si>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</si>
  <si>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</si>
  <si>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</si>
  <si>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</si>
  <si>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</si>
  <si>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</si>
  <si>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</si>
  <si>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</si>
  <si>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</si>
  <si>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</si>
  <si>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</si>
  <si>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</si>
  <si>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</si>
  <si>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</si>
  <si>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</si>
  <si>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</si>
  <si>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</si>
  <si>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</si>
  <si>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</si>
  <si>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</si>
  <si>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</si>
  <si>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</si>
  <si>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</si>
  <si>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</si>
  <si>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</si>
  <si>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</si>
  <si>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</si>
  <si>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</si>
  <si>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</si>
  <si>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</si>
  <si>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</si>
  <si>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</si>
  <si>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</si>
  <si>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</si>
  <si>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</si>
  <si>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</si>
  <si>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</si>
  <si>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</si>
  <si>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</si>
  <si>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</si>
  <si>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</si>
  <si>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</si>
  <si>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</si>
  <si>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</si>
  <si>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</si>
  <si>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</si>
  <si>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</si>
  <si>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</si>
  <si>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</si>
  <si>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</si>
  <si>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</si>
  <si>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</si>
  <si>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</si>
  <si>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</si>
  <si>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</si>
  <si>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</si>
  <si>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</si>
  <si>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</si>
  <si>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</si>
  <si>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</si>
  <si>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</si>
  <si>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</si>
  <si>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</si>
  <si>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</si>
  <si>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</si>
  <si>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</si>
  <si>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</si>
  <si>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</si>
  <si>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</si>
  <si>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</si>
  <si>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</si>
  <si>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</si>
  <si>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</si>
  <si>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</si>
  <si>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</si>
  <si>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</si>
  <si>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</si>
  <si>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</si>
  <si>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C</t>
  </si>
  <si>
    <t>Lcambior1</t>
  </si>
  <si>
    <t>Lcambior2</t>
  </si>
  <si>
    <t>cds</t>
  </si>
  <si>
    <t>Lsawp2</t>
  </si>
  <si>
    <t>Ltots(-1)</t>
  </si>
  <si>
    <t>Lpasse1</t>
  </si>
  <si>
    <t>div</t>
  </si>
  <si>
    <t>sep</t>
  </si>
  <si>
    <t>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</si>
</sst>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"/>
    <numFmt numFmtId="165" formatCode="yyyy\.mm"/>
  </numFmts>
  <fonts count="5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2" fillId="0" borderId="0" xfId="0" applyFont="1"/>
    <xf numFmtId="3" fontId="3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do IBOV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Aumento IBOV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IBOV!$A$83:$A$93</c:f>
              <c:strCache>
                <c:ptCount val="11"/>
                <c:pt idx="0">
                  <c:v>2025q2</c:v>
                </c:pt>
                <c:pt idx="1">
                  <c:v>2025q3</c:v>
                </c:pt>
                <c:pt idx="2">
                  <c:v>2025q4</c:v>
                </c:pt>
                <c:pt idx="3">
                  <c:v>2026q1</c:v>
                </c:pt>
                <c:pt idx="4">
                  <c:v>2026q2</c:v>
                </c:pt>
                <c:pt idx="5">
                  <c:v>2026q3</c:v>
                </c:pt>
                <c:pt idx="6">
                  <c:v>2026q4</c:v>
                </c:pt>
                <c:pt idx="7">
                  <c:v>2027q1</c:v>
                </c:pt>
                <c:pt idx="8">
                  <c:v>2027q2</c:v>
                </c:pt>
                <c:pt idx="9">
                  <c:v>2027q3</c:v>
                </c:pt>
                <c:pt idx="10">
                  <c:v>2027q4</c:v>
                </c:pt>
              </c:strCache>
            </c:strRef>
          </c:cat>
          <c:val>
            <c:numRef>
              <c:f>IBOV!$B$83:$B$93</c:f>
              <c:numCache>
                <c:formatCode>General</c:formatCode>
                <c:ptCount val="11"/>
                <c:pt idx="0">
                  <c:v>4.8451594419851993</c:v>
                </c:pt>
                <c:pt idx="1">
                  <c:v>4.7809939656719003</c:v>
                </c:pt>
                <c:pt idx="2">
                  <c:v>4.7301227787658284</c:v>
                </c:pt>
                <c:pt idx="3">
                  <c:v>4.6719794092341509</c:v>
                </c:pt>
                <c:pt idx="4">
                  <c:v>4.6161640290813004</c:v>
                </c:pt>
                <c:pt idx="5">
                  <c:v>4.5569596090042497</c:v>
                </c:pt>
                <c:pt idx="6">
                  <c:v>4.4970851781975565</c:v>
                </c:pt>
                <c:pt idx="7">
                  <c:v>4.4349130421340917</c:v>
                </c:pt>
                <c:pt idx="8">
                  <c:v>4.3711795159720763</c:v>
                </c:pt>
                <c:pt idx="9">
                  <c:v>4.3053891525893269</c:v>
                </c:pt>
                <c:pt idx="10">
                  <c:v>4.2377091655432064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4-4364-8CA9-696CBE1C9CDC}"/>
            </c:ext>
          </c:extLst>
        </c:ser>
        <c:ser>
          <c:idx val="1"/>
          <c:order val="1"/>
          <c:tx>
            <c:v>Redução IBOV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IBOV!$A$83:$A$93</c:f>
              <c:strCache>
                <c:ptCount val="11"/>
                <c:pt idx="0">
                  <c:v>2025q2</c:v>
                </c:pt>
                <c:pt idx="1">
                  <c:v>2025q3</c:v>
                </c:pt>
                <c:pt idx="2">
                  <c:v>2025q4</c:v>
                </c:pt>
                <c:pt idx="3">
                  <c:v>2026q1</c:v>
                </c:pt>
                <c:pt idx="4">
                  <c:v>2026q2</c:v>
                </c:pt>
                <c:pt idx="5">
                  <c:v>2026q3</c:v>
                </c:pt>
                <c:pt idx="6">
                  <c:v>2026q4</c:v>
                </c:pt>
                <c:pt idx="7">
                  <c:v>2027q1</c:v>
                </c:pt>
                <c:pt idx="8">
                  <c:v>2027q2</c:v>
                </c:pt>
                <c:pt idx="9">
                  <c:v>2027q3</c:v>
                </c:pt>
                <c:pt idx="10">
                  <c:v>2027q4</c:v>
                </c:pt>
              </c:strCache>
            </c:strRef>
          </c:cat>
          <c:val>
            <c:numRef>
              <c:f>IBOV!$B$99:$B$109</c:f>
              <c:numCache>
                <c:formatCode>General</c:formatCode>
                <c:ptCount val="11"/>
                <c:pt idx="0">
                  <c:v>4.9329449892827286</c:v>
                </c:pt>
                <c:pt idx="1">
                  <c:v>4.9483957372354519</c:v>
                </c:pt>
                <c:pt idx="2">
                  <c:v>4.9983848914031199</c:v>
                </c:pt>
                <c:pt idx="3">
                  <c:v>5.0373840219747477</c:v>
                </c:pt>
                <c:pt idx="4">
                  <c:v>5.0842321988006933</c:v>
                </c:pt>
                <c:pt idx="5">
                  <c:v>5.1266296835898828</c:v>
                </c:pt>
                <c:pt idx="6">
                  <c:v>5.1701350155449308</c:v>
                </c:pt>
                <c:pt idx="7">
                  <c:v>5.2114058888356558</c:v>
                </c:pt>
                <c:pt idx="8">
                  <c:v>5.2520782706013742</c:v>
                </c:pt>
                <c:pt idx="9">
                  <c:v>5.291254950320238</c:v>
                </c:pt>
                <c:pt idx="10">
                  <c:v>5.3294306472081612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4-4364-8CA9-696CBE1C9CDC}"/>
            </c:ext>
          </c:extLst>
        </c:ser>
        <c:ser>
          <c:idx val="2"/>
          <c:order val="2"/>
          <c:tx>
            <c:v>Nenhum Efeito 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IBOV!$A$83:$A$93</c:f>
              <c:strCache>
                <c:ptCount val="11"/>
                <c:pt idx="0">
                  <c:v>2025q2</c:v>
                </c:pt>
                <c:pt idx="1">
                  <c:v>2025q3</c:v>
                </c:pt>
                <c:pt idx="2">
                  <c:v>2025q4</c:v>
                </c:pt>
                <c:pt idx="3">
                  <c:v>2026q1</c:v>
                </c:pt>
                <c:pt idx="4">
                  <c:v>2026q2</c:v>
                </c:pt>
                <c:pt idx="5">
                  <c:v>2026q3</c:v>
                </c:pt>
                <c:pt idx="6">
                  <c:v>2026q4</c:v>
                </c:pt>
                <c:pt idx="7">
                  <c:v>2027q1</c:v>
                </c:pt>
                <c:pt idx="8">
                  <c:v>2027q2</c:v>
                </c:pt>
                <c:pt idx="9">
                  <c:v>2027q3</c:v>
                </c:pt>
                <c:pt idx="10">
                  <c:v>2027q4</c:v>
                </c:pt>
              </c:strCache>
            </c:strRef>
          </c:cat>
          <c:val>
            <c:numRef>
              <c:f>IBOV!$B$116:$B$126</c:f>
              <c:numCache>
                <c:formatCode>General</c:formatCode>
                <c:ptCount val="11"/>
                <c:pt idx="0">
                  <c:v>4.8890522156339635</c:v>
                </c:pt>
                <c:pt idx="1">
                  <c:v>4.8660116346631384</c:v>
                </c:pt>
                <c:pt idx="2">
                  <c:v>4.8680816448673916</c:v>
                </c:pt>
                <c:pt idx="3">
                  <c:v>4.8625334570769247</c:v>
                </c:pt>
                <c:pt idx="4">
                  <c:v>4.8635309246045821</c:v>
                </c:pt>
                <c:pt idx="5">
                  <c:v>4.8621484795064411</c:v>
                </c:pt>
                <c:pt idx="6">
                  <c:v>4.8625089811994044</c:v>
                </c:pt>
                <c:pt idx="7">
                  <c:v>4.862154097373244</c:v>
                </c:pt>
                <c:pt idx="8">
                  <c:v>4.8622709178756196</c:v>
                </c:pt>
                <c:pt idx="9">
                  <c:v>4.8621775573631165</c:v>
                </c:pt>
                <c:pt idx="10">
                  <c:v>4.8622133992499812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B4-4364-8CA9-696CBE1C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40026784"/>
        <c:axId val="40027264"/>
      </c:lineChart>
      <c:catAx>
        <c:axId val="4002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27264"/>
        <c:crosses val="autoZero"/>
        <c:auto val="1"/>
        <c:lblAlgn val="ctr"/>
        <c:lblOffset val="100"/>
        <c:noMultiLvlLbl val="0"/>
      </c:catAx>
      <c:valAx>
        <c:axId val="40027264"/>
        <c:scaling>
          <c:orientation val="minMax"/>
          <c:max val="6.5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Cambio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2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do S&amp;P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Aumento S&amp;P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SP!$A$83:$A$93</c:f>
              <c:strCache>
                <c:ptCount val="11"/>
                <c:pt idx="0">
                  <c:v>2025q2</c:v>
                </c:pt>
                <c:pt idx="1">
                  <c:v>2025q3</c:v>
                </c:pt>
                <c:pt idx="2">
                  <c:v>2025q4</c:v>
                </c:pt>
                <c:pt idx="3">
                  <c:v>2026q1</c:v>
                </c:pt>
                <c:pt idx="4">
                  <c:v>2026q2</c:v>
                </c:pt>
                <c:pt idx="5">
                  <c:v>2026q3</c:v>
                </c:pt>
                <c:pt idx="6">
                  <c:v>2026q4</c:v>
                </c:pt>
                <c:pt idx="7">
                  <c:v>2027q1</c:v>
                </c:pt>
                <c:pt idx="8">
                  <c:v>2027q2</c:v>
                </c:pt>
                <c:pt idx="9">
                  <c:v>2027q3</c:v>
                </c:pt>
                <c:pt idx="10">
                  <c:v>2027q4</c:v>
                </c:pt>
              </c:strCache>
            </c:strRef>
          </c:cat>
          <c:val>
            <c:numRef>
              <c:f>SP!$B$83:$B$93</c:f>
              <c:numCache>
                <c:formatCode>General</c:formatCode>
                <c:ptCount val="11"/>
                <c:pt idx="0">
                  <c:v>4.9838579793778663</c:v>
                </c:pt>
                <c:pt idx="1">
                  <c:v>5.0496447106892539</c:v>
                </c:pt>
                <c:pt idx="2">
                  <c:v>5.1660645376930621</c:v>
                </c:pt>
                <c:pt idx="3">
                  <c:v>5.2741187942166885</c:v>
                </c:pt>
                <c:pt idx="4">
                  <c:v>5.397828612025906</c:v>
                </c:pt>
                <c:pt idx="5">
                  <c:v>5.5213381717694485</c:v>
                </c:pt>
                <c:pt idx="6">
                  <c:v>5.651802522113881</c:v>
                </c:pt>
                <c:pt idx="7">
                  <c:v>5.784969202857889</c:v>
                </c:pt>
                <c:pt idx="8">
                  <c:v>5.9229989501957903</c:v>
                </c:pt>
                <c:pt idx="9">
                  <c:v>6.0648071833861543</c:v>
                </c:pt>
                <c:pt idx="10">
                  <c:v>6.2111051624283409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01C-841C-A86487E4BF59}"/>
            </c:ext>
          </c:extLst>
        </c:ser>
        <c:ser>
          <c:idx val="1"/>
          <c:order val="1"/>
          <c:tx>
            <c:v>Redução S&amp;P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SP!$B$99:$B$109</c:f>
              <c:numCache>
                <c:formatCode>General</c:formatCode>
                <c:ptCount val="11"/>
                <c:pt idx="0">
                  <c:v>4.7942464518900625</c:v>
                </c:pt>
                <c:pt idx="1">
                  <c:v>4.6880669044616603</c:v>
                </c:pt>
                <c:pt idx="2">
                  <c:v>4.5866344320531827</c:v>
                </c:pt>
                <c:pt idx="3">
                  <c:v>4.4848667031178202</c:v>
                </c:pt>
                <c:pt idx="4">
                  <c:v>4.3868293830968828</c:v>
                </c:pt>
                <c:pt idx="5">
                  <c:v>4.290884910024932</c:v>
                </c:pt>
                <c:pt idx="6">
                  <c:v>4.1980551609187575</c:v>
                </c:pt>
                <c:pt idx="7">
                  <c:v>4.1077911333582886</c:v>
                </c:pt>
                <c:pt idx="8">
                  <c:v>4.0203103691101241</c:v>
                </c:pt>
                <c:pt idx="9">
                  <c:v>3.9353960723273214</c:v>
                </c:pt>
                <c:pt idx="10">
                  <c:v>3.8530521103906312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8-401C-841C-A86487E4BF59}"/>
            </c:ext>
          </c:extLst>
        </c:ser>
        <c:ser>
          <c:idx val="2"/>
          <c:order val="2"/>
          <c:tx>
            <c:v>Nenhum Efeito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SP!$B$117:$B$127</c:f>
              <c:numCache>
                <c:formatCode>General</c:formatCode>
                <c:ptCount val="11"/>
                <c:pt idx="0">
                  <c:v>4.8890522156339635</c:v>
                </c:pt>
                <c:pt idx="1">
                  <c:v>4.8660116346631384</c:v>
                </c:pt>
                <c:pt idx="2">
                  <c:v>4.8680816448673916</c:v>
                </c:pt>
                <c:pt idx="3">
                  <c:v>4.8625334570769247</c:v>
                </c:pt>
                <c:pt idx="4">
                  <c:v>4.8635309246045821</c:v>
                </c:pt>
                <c:pt idx="5">
                  <c:v>4.8621484795064411</c:v>
                </c:pt>
                <c:pt idx="6">
                  <c:v>4.8625089811994044</c:v>
                </c:pt>
                <c:pt idx="7">
                  <c:v>4.862154097373244</c:v>
                </c:pt>
                <c:pt idx="8">
                  <c:v>4.8622709178756196</c:v>
                </c:pt>
                <c:pt idx="9">
                  <c:v>4.8621775573631165</c:v>
                </c:pt>
                <c:pt idx="10">
                  <c:v>4.8622133992499812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8-401C-841C-A86487E4B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46575952"/>
        <c:axId val="46576432"/>
      </c:lineChart>
      <c:catAx>
        <c:axId val="4657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76432"/>
        <c:crosses val="autoZero"/>
        <c:auto val="1"/>
        <c:lblAlgn val="ctr"/>
        <c:lblOffset val="100"/>
        <c:noMultiLvlLbl val="0"/>
      </c:catAx>
      <c:valAx>
        <c:axId val="4657643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Cambio 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57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440530</xdr:colOff>
      <xdr:row>83</xdr:row>
      <xdr:rowOff>75010</xdr:rowOff>
    </xdr:from>
    <xdr:to>
      <xdr:col>36</xdr:col>
      <xdr:colOff>12699</xdr:colOff>
      <xdr:row>118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29877E-4F5C-9B57-4E1F-788241862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326570</xdr:colOff>
      <xdr:row>99</xdr:row>
      <xdr:rowOff>129721</xdr:rowOff>
    </xdr:from>
    <xdr:to>
      <xdr:col>35</xdr:col>
      <xdr:colOff>479777</xdr:colOff>
      <xdr:row>124</xdr:row>
      <xdr:rowOff>70555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07BA74-5592-EEBB-1ADC-7EFC3A7F9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0</xdr:rowOff>
    </xdr:from>
    <xdr:to>
      <xdr:col>12</xdr:col>
      <xdr:colOff>571500</xdr:colOff>
      <xdr:row>23</xdr:row>
      <xdr:rowOff>142875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C9DBFF9C-0184-44FA-E9E2-7F72B390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90500"/>
          <a:ext cx="5562600" cy="433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2" sqref="S2"/>
    </sheetView>
  </sheetViews>
  <sheetFormatPr defaultColWidth="14.453125" defaultRowHeight="15" customHeight="1"/>
  <cols>
    <col min="1" max="1" width="8.7265625" customWidth="1"/>
    <col min="2" max="2" width="16" customWidth="1"/>
    <col min="3" max="3" width="17.453125" customWidth="1"/>
    <col min="4" max="4" width="20.81640625" customWidth="1"/>
    <col min="5" max="5" width="13.81640625" customWidth="1"/>
    <col min="6" max="6" width="14.54296875" customWidth="1"/>
    <col min="7" max="7" width="16.26953125" customWidth="1"/>
    <col min="8" max="8" width="19.453125" customWidth="1"/>
    <col min="9" max="9" width="8.7265625" customWidth="1"/>
    <col min="10" max="10" width="13.54296875" customWidth="1"/>
    <col min="11" max="19" width="8.7265625" customWidth="1"/>
  </cols>
  <sheetData>
    <row r="1" spans="1:34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3" t="s">
        <v>14</v>
      </c>
      <c r="Q1" s="13" t="s">
        <v>15</v>
      </c>
      <c r="R1" s="13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4.5">
      <c r="A2" s="1" t="s">
        <v>33</v>
      </c>
      <c r="B2" s="1">
        <v>109.84666666699999</v>
      </c>
      <c r="C2" s="1">
        <v>793.73</v>
      </c>
      <c r="D2" s="1">
        <v>0.505</v>
      </c>
      <c r="E2" s="1">
        <v>87.22</v>
      </c>
      <c r="F2" s="1">
        <v>20.03</v>
      </c>
      <c r="G2" s="1">
        <v>0.67836666666666601</v>
      </c>
      <c r="H2" s="1">
        <v>0.15</v>
      </c>
      <c r="I2" s="1">
        <v>212.73333333333301</v>
      </c>
      <c r="J2" s="1" t="s">
        <v>34</v>
      </c>
      <c r="K2" s="1" t="s">
        <v>34</v>
      </c>
      <c r="L2" s="2">
        <v>372.1</v>
      </c>
      <c r="M2" s="4">
        <v>13255</v>
      </c>
      <c r="N2" s="5">
        <v>1147.390014648438</v>
      </c>
      <c r="P2">
        <f t="shared" ref="P2:P33" si="0">LN(B2)</f>
        <v>4.6990854539642104</v>
      </c>
      <c r="Q2">
        <f t="shared" ref="Q2:Q33" si="1">LN(C2)</f>
        <v>6.6767433530390621</v>
      </c>
      <c r="R2">
        <f t="shared" ref="R2:R33" si="2">LN(D2)</f>
        <v>-0.68319684970677719</v>
      </c>
      <c r="S2">
        <f t="shared" ref="S2:S33" si="3">LN(E2)</f>
        <v>4.4684336624146201</v>
      </c>
      <c r="T2">
        <f t="shared" ref="T2:T33" si="4">LN(F2)</f>
        <v>2.9972311496777269</v>
      </c>
      <c r="U2">
        <f t="shared" ref="U2:U33" si="5">LN(G2)</f>
        <v>-0.38806733093174495</v>
      </c>
      <c r="V2">
        <f t="shared" ref="V2:V33" si="6">LN(H2)</f>
        <v>-1.8971199848858813</v>
      </c>
      <c r="W2">
        <f t="shared" ref="W2:W33" si="7">LN(I2)</f>
        <v>5.3600394251760317</v>
      </c>
      <c r="X2" t="e">
        <f t="shared" ref="X2:X33" si="8">LN(J2)</f>
        <v>#VALUE!</v>
      </c>
      <c r="Y2" t="e">
        <f t="shared" ref="Y2:Y33" si="9">LN(K2)</f>
        <v>#VALUE!</v>
      </c>
      <c r="Z2">
        <f t="shared" ref="Z2:Z33" si="10">LN(L2)</f>
        <v>5.9191626353525768</v>
      </c>
      <c r="AA2">
        <f t="shared" ref="AA2:AA33" si="11">LN(M2)</f>
        <v>9.4921301187231251</v>
      </c>
      <c r="AB2">
        <f t="shared" ref="AB2:AB33" si="12">LN(N2)</f>
        <v>7.0452450895400807</v>
      </c>
      <c r="AC2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ht="14.5">
      <c r="A3" s="1" t="s">
        <v>35</v>
      </c>
      <c r="B3" s="1">
        <v>114.326666667</v>
      </c>
      <c r="C3" s="1">
        <v>1132.2529999999999</v>
      </c>
      <c r="D3" s="1">
        <v>0.47299999999999998</v>
      </c>
      <c r="E3" s="1">
        <v>88.3333333333333</v>
      </c>
      <c r="F3" s="1">
        <v>22.43</v>
      </c>
      <c r="G3" s="1">
        <v>0.70046666666666602</v>
      </c>
      <c r="H3" s="1">
        <v>0.17065958751954199</v>
      </c>
      <c r="I3" s="1">
        <v>218.17666666666599</v>
      </c>
      <c r="J3" s="1" t="s">
        <v>34</v>
      </c>
      <c r="K3" s="1" t="s">
        <v>34</v>
      </c>
      <c r="L3" s="2">
        <v>320.10000000000002</v>
      </c>
      <c r="M3" s="4">
        <v>11139</v>
      </c>
      <c r="N3" s="5">
        <v>989.82000732421875</v>
      </c>
      <c r="P3">
        <f t="shared" si="0"/>
        <v>4.7390598477628068</v>
      </c>
      <c r="Q3">
        <f t="shared" si="1"/>
        <v>7.0319647320243339</v>
      </c>
      <c r="R3">
        <f t="shared" si="2"/>
        <v>-0.74865989049020409</v>
      </c>
      <c r="S3">
        <f t="shared" si="3"/>
        <v>4.481117537318112</v>
      </c>
      <c r="T3">
        <f t="shared" si="4"/>
        <v>3.1103993485321171</v>
      </c>
      <c r="U3">
        <f t="shared" si="5"/>
        <v>-0.35600849939557278</v>
      </c>
      <c r="V3">
        <f t="shared" si="6"/>
        <v>-1.7680844228487158</v>
      </c>
      <c r="W3">
        <f t="shared" si="7"/>
        <v>5.3853051321478054</v>
      </c>
      <c r="X3" t="e">
        <f t="shared" si="8"/>
        <v>#VALUE!</v>
      </c>
      <c r="Y3" t="e">
        <f t="shared" si="9"/>
        <v>#VALUE!</v>
      </c>
      <c r="Z3">
        <f t="shared" si="10"/>
        <v>5.7686334469758176</v>
      </c>
      <c r="AA3">
        <f t="shared" si="11"/>
        <v>9.318207742845189</v>
      </c>
      <c r="AB3">
        <f t="shared" si="12"/>
        <v>6.8975231158154342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ht="14.5">
      <c r="A4" s="1" t="s">
        <v>36</v>
      </c>
      <c r="B4" s="1">
        <v>143.84666666699999</v>
      </c>
      <c r="C4" s="1">
        <v>2847.31</v>
      </c>
      <c r="D4" s="1">
        <v>0.40799999999999997</v>
      </c>
      <c r="E4" s="1">
        <v>84.819999999999894</v>
      </c>
      <c r="F4" s="1">
        <v>34.79</v>
      </c>
      <c r="G4" s="1">
        <v>0.77713333333333301</v>
      </c>
      <c r="H4" s="1">
        <v>0.16565853098660299</v>
      </c>
      <c r="I4" s="1">
        <v>233.42333333333301</v>
      </c>
      <c r="J4" s="1" t="s">
        <v>34</v>
      </c>
      <c r="K4" s="1" t="s">
        <v>34</v>
      </c>
      <c r="L4" s="2">
        <v>484.3</v>
      </c>
      <c r="M4" s="4">
        <v>8623</v>
      </c>
      <c r="N4" s="5">
        <v>815.280029296875</v>
      </c>
      <c r="P4">
        <f t="shared" si="0"/>
        <v>4.9687479174454463</v>
      </c>
      <c r="Q4">
        <f t="shared" si="1"/>
        <v>7.9541299678975701</v>
      </c>
      <c r="R4">
        <f t="shared" si="2"/>
        <v>-0.89648810457797545</v>
      </c>
      <c r="S4">
        <f t="shared" si="3"/>
        <v>4.4405313640464437</v>
      </c>
      <c r="T4">
        <f t="shared" si="4"/>
        <v>3.5493299891638506</v>
      </c>
      <c r="U4">
        <f t="shared" si="5"/>
        <v>-0.2521433431645152</v>
      </c>
      <c r="V4">
        <f t="shared" si="6"/>
        <v>-1.7978266514922701</v>
      </c>
      <c r="W4">
        <f t="shared" si="7"/>
        <v>5.4528536862923751</v>
      </c>
      <c r="X4" t="e">
        <f t="shared" si="8"/>
        <v>#VALUE!</v>
      </c>
      <c r="Y4" t="e">
        <f t="shared" si="9"/>
        <v>#VALUE!</v>
      </c>
      <c r="Z4">
        <f t="shared" si="10"/>
        <v>6.1827045494091832</v>
      </c>
      <c r="AA4">
        <f t="shared" si="11"/>
        <v>9.0621883309523241</v>
      </c>
      <c r="AB4">
        <f t="shared" si="12"/>
        <v>6.7035316484551775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ht="14.5">
      <c r="A5" s="1" t="s">
        <v>37</v>
      </c>
      <c r="B5" s="1">
        <v>162.663333333</v>
      </c>
      <c r="C5" s="1">
        <v>2957.64</v>
      </c>
      <c r="D5" s="1">
        <v>0.45399999999999996</v>
      </c>
      <c r="E5" s="1">
        <v>82.856666666666598</v>
      </c>
      <c r="F5" s="1">
        <v>29.09</v>
      </c>
      <c r="G5" s="1">
        <v>0.76959999999999995</v>
      </c>
      <c r="H5" s="1">
        <v>0.148372544589186</v>
      </c>
      <c r="I5" s="1">
        <v>238.3</v>
      </c>
      <c r="J5" s="1" t="s">
        <v>34</v>
      </c>
      <c r="K5" s="1" t="s">
        <v>34</v>
      </c>
      <c r="L5" s="2">
        <v>432.6</v>
      </c>
      <c r="M5" s="4">
        <v>11268</v>
      </c>
      <c r="N5" s="5">
        <v>879.82000732421875</v>
      </c>
      <c r="P5">
        <f t="shared" si="0"/>
        <v>5.0916826251697493</v>
      </c>
      <c r="Q5">
        <f t="shared" si="1"/>
        <v>7.9921469320102752</v>
      </c>
      <c r="R5">
        <f t="shared" si="2"/>
        <v>-0.78965808094078915</v>
      </c>
      <c r="S5">
        <f t="shared" si="3"/>
        <v>4.4171122073421989</v>
      </c>
      <c r="T5">
        <f t="shared" si="4"/>
        <v>3.3703944725071104</v>
      </c>
      <c r="U5">
        <f t="shared" si="5"/>
        <v>-0.26188437963064037</v>
      </c>
      <c r="V5">
        <f t="shared" si="6"/>
        <v>-1.9080289748720598</v>
      </c>
      <c r="W5">
        <f t="shared" si="7"/>
        <v>5.4735303841046967</v>
      </c>
      <c r="X5" t="e">
        <f t="shared" si="8"/>
        <v>#VALUE!</v>
      </c>
      <c r="Y5" t="e">
        <f t="shared" si="9"/>
        <v>#VALUE!</v>
      </c>
      <c r="Z5">
        <f t="shared" si="10"/>
        <v>6.0698135135189588</v>
      </c>
      <c r="AA5">
        <f t="shared" si="11"/>
        <v>9.3297221289962629</v>
      </c>
      <c r="AB5">
        <f t="shared" si="12"/>
        <v>6.7797173494201104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t="14.5">
      <c r="A6" s="1" t="s">
        <v>38</v>
      </c>
      <c r="B6" s="1">
        <v>154.133333333</v>
      </c>
      <c r="C6" s="1">
        <v>1684.3530000000001</v>
      </c>
      <c r="D6" s="1">
        <v>0.45399999999999996</v>
      </c>
      <c r="E6" s="1">
        <v>83.03</v>
      </c>
      <c r="F6" s="1">
        <v>29.98</v>
      </c>
      <c r="G6" s="1">
        <v>0.77139999999999997</v>
      </c>
      <c r="H6" s="1">
        <v>0.13795283209845</v>
      </c>
      <c r="I6" s="1">
        <v>248.19333333333299</v>
      </c>
      <c r="J6" s="6">
        <v>101.82</v>
      </c>
      <c r="K6" s="1" t="s">
        <v>34</v>
      </c>
      <c r="L6" s="2">
        <v>535.4</v>
      </c>
      <c r="M6" s="4">
        <v>11274</v>
      </c>
      <c r="N6" s="5">
        <v>848.17999267578125</v>
      </c>
      <c r="P6">
        <f t="shared" si="0"/>
        <v>5.0378180286878953</v>
      </c>
      <c r="Q6">
        <f t="shared" si="1"/>
        <v>7.429136792787574</v>
      </c>
      <c r="R6">
        <f t="shared" si="2"/>
        <v>-0.78965808094078915</v>
      </c>
      <c r="S6">
        <f t="shared" si="3"/>
        <v>4.4192019882739393</v>
      </c>
      <c r="T6">
        <f t="shared" si="4"/>
        <v>3.4005304926744517</v>
      </c>
      <c r="U6">
        <f t="shared" si="5"/>
        <v>-0.25954823320800968</v>
      </c>
      <c r="V6">
        <f t="shared" si="6"/>
        <v>-1.9808434486386748</v>
      </c>
      <c r="W6">
        <f t="shared" si="7"/>
        <v>5.5142080123506751</v>
      </c>
      <c r="X6">
        <f t="shared" si="8"/>
        <v>4.6232065484741902</v>
      </c>
      <c r="Y6" t="e">
        <f t="shared" si="9"/>
        <v>#VALUE!</v>
      </c>
      <c r="Z6">
        <f t="shared" si="10"/>
        <v>6.2830141310862517</v>
      </c>
      <c r="AA6">
        <f t="shared" si="11"/>
        <v>9.3302544686415203</v>
      </c>
      <c r="AB6">
        <f t="shared" si="12"/>
        <v>6.7430928687827816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ht="14.5">
      <c r="A7" s="1" t="s">
        <v>39</v>
      </c>
      <c r="B7" s="1">
        <v>133.81666666699999</v>
      </c>
      <c r="C7" s="1">
        <v>977.64329999999995</v>
      </c>
      <c r="D7" s="1">
        <v>0.48200000000000004</v>
      </c>
      <c r="E7" s="1">
        <v>84.7766666666666</v>
      </c>
      <c r="F7" s="1">
        <v>20.07</v>
      </c>
      <c r="G7" s="1">
        <v>0.73133333333333295</v>
      </c>
      <c r="H7" s="1">
        <v>0.13173366989832799</v>
      </c>
      <c r="I7" s="1">
        <v>248.70333333333301</v>
      </c>
      <c r="J7" s="6">
        <v>100.14</v>
      </c>
      <c r="K7" s="1" t="s">
        <v>34</v>
      </c>
      <c r="L7" s="2">
        <v>395.2</v>
      </c>
      <c r="M7" s="4">
        <v>12973</v>
      </c>
      <c r="N7" s="5">
        <v>974.5</v>
      </c>
      <c r="P7">
        <f t="shared" si="0"/>
        <v>4.8964707039650746</v>
      </c>
      <c r="Q7">
        <f t="shared" si="1"/>
        <v>6.8851448795804888</v>
      </c>
      <c r="R7">
        <f t="shared" si="2"/>
        <v>-0.72981116493153664</v>
      </c>
      <c r="S7">
        <f t="shared" si="3"/>
        <v>4.4400203477024549</v>
      </c>
      <c r="T7">
        <f t="shared" si="4"/>
        <v>2.9992261628082466</v>
      </c>
      <c r="U7">
        <f t="shared" si="5"/>
        <v>-0.31288592681507171</v>
      </c>
      <c r="V7">
        <f t="shared" si="6"/>
        <v>-2.0269730468835832</v>
      </c>
      <c r="W7">
        <f t="shared" si="7"/>
        <v>5.5162607537486226</v>
      </c>
      <c r="X7">
        <f t="shared" si="8"/>
        <v>4.6065692069017983</v>
      </c>
      <c r="Y7" t="e">
        <f t="shared" si="9"/>
        <v>#VALUE!</v>
      </c>
      <c r="Z7">
        <f t="shared" si="10"/>
        <v>5.9793919658737131</v>
      </c>
      <c r="AA7">
        <f t="shared" si="11"/>
        <v>9.4706255535710131</v>
      </c>
      <c r="AB7">
        <f t="shared" si="12"/>
        <v>6.8819245189476153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ht="14.5">
      <c r="A8" s="1" t="s">
        <v>40</v>
      </c>
      <c r="B8" s="1">
        <v>130.55333333300001</v>
      </c>
      <c r="C8" s="1">
        <v>818.13329999999996</v>
      </c>
      <c r="D8" s="1">
        <v>0.47499999999999998</v>
      </c>
      <c r="E8" s="1">
        <v>85.19</v>
      </c>
      <c r="F8" s="1">
        <v>20.28</v>
      </c>
      <c r="G8" s="1">
        <v>0.74376666666666602</v>
      </c>
      <c r="H8" s="1">
        <v>0.117328687325353</v>
      </c>
      <c r="I8" s="1">
        <v>251.46</v>
      </c>
      <c r="J8" s="6">
        <v>101.65</v>
      </c>
      <c r="K8" s="1" t="s">
        <v>34</v>
      </c>
      <c r="L8" s="2">
        <v>295.8</v>
      </c>
      <c r="M8" s="4">
        <v>16011</v>
      </c>
      <c r="N8" s="5">
        <v>995.969970703125</v>
      </c>
      <c r="P8">
        <f t="shared" si="0"/>
        <v>4.8717818278180278</v>
      </c>
      <c r="Q8">
        <f t="shared" si="1"/>
        <v>6.7070252817616716</v>
      </c>
      <c r="R8">
        <f t="shared" si="2"/>
        <v>-0.74444047494749588</v>
      </c>
      <c r="S8">
        <f t="shared" si="3"/>
        <v>4.4448840560547493</v>
      </c>
      <c r="T8">
        <f t="shared" si="4"/>
        <v>3.0096351787229825</v>
      </c>
      <c r="U8">
        <f t="shared" si="5"/>
        <v>-0.29602791340979007</v>
      </c>
      <c r="V8">
        <f t="shared" si="6"/>
        <v>-2.1427759894950413</v>
      </c>
      <c r="W8">
        <f t="shared" si="7"/>
        <v>5.5272839311650355</v>
      </c>
      <c r="X8">
        <f t="shared" si="8"/>
        <v>4.6215355400743556</v>
      </c>
      <c r="Y8" t="e">
        <f t="shared" si="9"/>
        <v>#VALUE!</v>
      </c>
      <c r="Z8">
        <f t="shared" si="10"/>
        <v>5.6896835502766994</v>
      </c>
      <c r="AA8">
        <f t="shared" si="11"/>
        <v>9.6810312650020549</v>
      </c>
      <c r="AB8">
        <f t="shared" si="12"/>
        <v>6.9037171072336205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ht="14.5">
      <c r="A9" s="1" t="s">
        <v>41</v>
      </c>
      <c r="B9" s="1">
        <v>130.95333333299999</v>
      </c>
      <c r="C9" s="1">
        <v>551.61670000000004</v>
      </c>
      <c r="D9" s="1">
        <v>0.48700000000000004</v>
      </c>
      <c r="E9" s="1">
        <v>86</v>
      </c>
      <c r="F9" s="1">
        <v>16.91</v>
      </c>
      <c r="G9" s="1">
        <v>0.72739999999999905</v>
      </c>
      <c r="H9" s="1">
        <v>9.1845391732928897E-2</v>
      </c>
      <c r="I9" s="1">
        <v>274.60000000000002</v>
      </c>
      <c r="J9" s="6">
        <v>101.95</v>
      </c>
      <c r="K9" s="1" t="s">
        <v>34</v>
      </c>
      <c r="L9" s="2">
        <v>305.89999999999998</v>
      </c>
      <c r="M9" s="4">
        <v>22236</v>
      </c>
      <c r="N9" s="5">
        <v>1111.920043945313</v>
      </c>
      <c r="P9">
        <f t="shared" si="0"/>
        <v>4.8748410256354751</v>
      </c>
      <c r="Q9">
        <f t="shared" si="1"/>
        <v>6.3128534210228526</v>
      </c>
      <c r="R9">
        <f t="shared" si="2"/>
        <v>-0.71949115589954715</v>
      </c>
      <c r="S9">
        <f t="shared" si="3"/>
        <v>4.4543472962535073</v>
      </c>
      <c r="T9">
        <f t="shared" si="4"/>
        <v>2.827905162910489</v>
      </c>
      <c r="U9">
        <f t="shared" si="5"/>
        <v>-0.31827874642924969</v>
      </c>
      <c r="V9">
        <f t="shared" si="6"/>
        <v>-2.387648640240732</v>
      </c>
      <c r="W9">
        <f t="shared" si="7"/>
        <v>5.6153154933338705</v>
      </c>
      <c r="X9">
        <f t="shared" si="8"/>
        <v>4.6244824970204643</v>
      </c>
      <c r="Y9" t="e">
        <f t="shared" si="9"/>
        <v>#VALUE!</v>
      </c>
      <c r="Z9">
        <f t="shared" si="10"/>
        <v>5.7232582511568575</v>
      </c>
      <c r="AA9">
        <f t="shared" si="11"/>
        <v>10.00946787607336</v>
      </c>
      <c r="AB9">
        <f t="shared" si="12"/>
        <v>7.013843569298511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ht="14.5">
      <c r="A10" s="1" t="s">
        <v>42</v>
      </c>
      <c r="B10" s="1">
        <v>134.723333333</v>
      </c>
      <c r="C10" s="1">
        <v>515.25670000000002</v>
      </c>
      <c r="D10" s="1">
        <v>0.46399999999999997</v>
      </c>
      <c r="E10" s="1">
        <v>86.24</v>
      </c>
      <c r="F10" s="1">
        <v>15.97</v>
      </c>
      <c r="G10" s="1">
        <v>0.71863333333333301</v>
      </c>
      <c r="H10" s="1">
        <v>8.8482706798464095E-2</v>
      </c>
      <c r="I10" s="1">
        <v>292.08333333333297</v>
      </c>
      <c r="J10" s="6">
        <v>105.81</v>
      </c>
      <c r="K10" s="1" t="s">
        <v>34</v>
      </c>
      <c r="L10" s="2">
        <v>302.8</v>
      </c>
      <c r="M10" s="4">
        <v>22142</v>
      </c>
      <c r="N10" s="5">
        <v>1126.2099609375</v>
      </c>
      <c r="P10">
        <f t="shared" si="0"/>
        <v>4.9032232928616155</v>
      </c>
      <c r="Q10">
        <f t="shared" si="1"/>
        <v>6.2446652230824347</v>
      </c>
      <c r="R10">
        <f t="shared" si="2"/>
        <v>-0.76787072675588186</v>
      </c>
      <c r="S10">
        <f t="shared" si="3"/>
        <v>4.4571341071606874</v>
      </c>
      <c r="T10">
        <f t="shared" si="4"/>
        <v>2.7707119622269212</v>
      </c>
      <c r="U10">
        <f t="shared" si="5"/>
        <v>-0.33040401888628573</v>
      </c>
      <c r="V10">
        <f t="shared" si="6"/>
        <v>-2.4249481494691718</v>
      </c>
      <c r="W10">
        <f t="shared" si="7"/>
        <v>5.6770391496806889</v>
      </c>
      <c r="X10">
        <f t="shared" si="8"/>
        <v>4.6616450329160699</v>
      </c>
      <c r="Y10" t="e">
        <f t="shared" si="9"/>
        <v>#VALUE!</v>
      </c>
      <c r="Z10">
        <f t="shared" si="10"/>
        <v>5.7130725215632934</v>
      </c>
      <c r="AA10">
        <f t="shared" si="11"/>
        <v>10.005231536419412</v>
      </c>
      <c r="AB10">
        <f t="shared" si="12"/>
        <v>7.0266132575136897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ht="14.5">
      <c r="A11" s="1" t="s">
        <v>43</v>
      </c>
      <c r="B11" s="1">
        <v>140.59</v>
      </c>
      <c r="C11" s="1">
        <v>734.42</v>
      </c>
      <c r="D11" s="1">
        <v>0.40899999999999997</v>
      </c>
      <c r="E11" s="1">
        <v>87.273333333333298</v>
      </c>
      <c r="F11" s="1">
        <v>15.68</v>
      </c>
      <c r="G11" s="1">
        <v>0.70873333333333299</v>
      </c>
      <c r="H11" s="1">
        <v>9.8123825507238693E-2</v>
      </c>
      <c r="I11" s="1">
        <v>303.36</v>
      </c>
      <c r="J11" s="6">
        <v>107.18</v>
      </c>
      <c r="K11" s="1" t="s">
        <v>34</v>
      </c>
      <c r="L11" s="2">
        <v>245.1</v>
      </c>
      <c r="M11" s="4">
        <v>21149</v>
      </c>
      <c r="N11" s="7">
        <v>1140.839965820313</v>
      </c>
      <c r="P11">
        <f t="shared" si="0"/>
        <v>4.9458478530918164</v>
      </c>
      <c r="Q11">
        <f t="shared" si="1"/>
        <v>6.5990810720509341</v>
      </c>
      <c r="R11">
        <f t="shared" si="2"/>
        <v>-0.89404012293933532</v>
      </c>
      <c r="S11">
        <f t="shared" si="3"/>
        <v>4.4690449560838426</v>
      </c>
      <c r="T11">
        <f t="shared" si="4"/>
        <v>2.7523860149222616</v>
      </c>
      <c r="U11">
        <f t="shared" si="5"/>
        <v>-0.34427593979574239</v>
      </c>
      <c r="V11">
        <f t="shared" si="6"/>
        <v>-2.3215250723041794</v>
      </c>
      <c r="W11">
        <f t="shared" si="7"/>
        <v>5.7149202190666566</v>
      </c>
      <c r="X11">
        <f t="shared" si="8"/>
        <v>4.6745096640667043</v>
      </c>
      <c r="Y11" t="e">
        <f t="shared" si="9"/>
        <v>#VALUE!</v>
      </c>
      <c r="Z11">
        <f t="shared" si="10"/>
        <v>5.5016662905340672</v>
      </c>
      <c r="AA11">
        <f t="shared" si="11"/>
        <v>9.95934790203275</v>
      </c>
      <c r="AB11">
        <f t="shared" si="12"/>
        <v>7.0395200821988331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ht="14.5">
      <c r="A12" s="1" t="s">
        <v>44</v>
      </c>
      <c r="B12" s="1">
        <v>135.87666666699999</v>
      </c>
      <c r="C12" s="1">
        <v>551.13670000000002</v>
      </c>
      <c r="D12" s="1">
        <v>0.42</v>
      </c>
      <c r="E12" s="1">
        <v>86.613333333333301</v>
      </c>
      <c r="F12" s="1">
        <v>14.65</v>
      </c>
      <c r="G12" s="1">
        <v>0.69026666666666603</v>
      </c>
      <c r="H12" s="1">
        <v>9.7548832624496706E-2</v>
      </c>
      <c r="I12" s="1">
        <v>292.87666666666598</v>
      </c>
      <c r="J12" s="6">
        <v>109.16</v>
      </c>
      <c r="K12" s="1" t="s">
        <v>34</v>
      </c>
      <c r="L12" s="2">
        <v>313.10000000000002</v>
      </c>
      <c r="M12" s="4">
        <v>23245</v>
      </c>
      <c r="N12" s="5">
        <v>1114.579956054688</v>
      </c>
      <c r="P12">
        <f t="shared" si="0"/>
        <v>4.9117476115446177</v>
      </c>
      <c r="Q12">
        <f t="shared" si="1"/>
        <v>6.3119828727564604</v>
      </c>
      <c r="R12">
        <f t="shared" si="2"/>
        <v>-0.86750056770472306</v>
      </c>
      <c r="S12">
        <f t="shared" si="3"/>
        <v>4.4614537683052031</v>
      </c>
      <c r="T12">
        <f t="shared" si="4"/>
        <v>2.6844403354630764</v>
      </c>
      <c r="U12">
        <f t="shared" si="5"/>
        <v>-0.37067728262250138</v>
      </c>
      <c r="V12">
        <f t="shared" si="6"/>
        <v>-2.3274021789298116</v>
      </c>
      <c r="W12">
        <f t="shared" si="7"/>
        <v>5.6797515875216815</v>
      </c>
      <c r="X12">
        <f t="shared" si="8"/>
        <v>4.6928146958401378</v>
      </c>
      <c r="Y12" t="e">
        <f t="shared" si="9"/>
        <v>#VALUE!</v>
      </c>
      <c r="Z12">
        <f t="shared" si="10"/>
        <v>5.74652262833236</v>
      </c>
      <c r="AA12">
        <f t="shared" si="11"/>
        <v>10.053845334124684</v>
      </c>
      <c r="AB12">
        <f t="shared" si="12"/>
        <v>7.0162328918898407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ht="14.5">
      <c r="A13" s="1" t="s">
        <v>45</v>
      </c>
      <c r="B13" s="1">
        <v>128.97</v>
      </c>
      <c r="C13" s="1">
        <v>381.82670000000002</v>
      </c>
      <c r="D13" s="1">
        <v>0.44400000000000001</v>
      </c>
      <c r="E13" s="1">
        <v>84.673333333333304</v>
      </c>
      <c r="F13" s="1">
        <v>14.27</v>
      </c>
      <c r="G13" s="1">
        <v>0.68106666666666604</v>
      </c>
      <c r="H13" s="1">
        <v>0.10605381929862</v>
      </c>
      <c r="I13" s="1">
        <v>296.06666666666598</v>
      </c>
      <c r="J13" s="6">
        <v>109.07</v>
      </c>
      <c r="K13" s="1" t="s">
        <v>34</v>
      </c>
      <c r="L13" s="2">
        <v>273</v>
      </c>
      <c r="M13" s="4">
        <v>26196</v>
      </c>
      <c r="N13" s="7">
        <v>1211.920043945313</v>
      </c>
      <c r="P13">
        <f t="shared" si="0"/>
        <v>4.8595798191763002</v>
      </c>
      <c r="Q13">
        <f t="shared" si="1"/>
        <v>5.9449668407480454</v>
      </c>
      <c r="R13">
        <f t="shared" si="2"/>
        <v>-0.81193071654991233</v>
      </c>
      <c r="S13">
        <f t="shared" si="3"/>
        <v>4.4388007154080631</v>
      </c>
      <c r="T13">
        <f t="shared" si="4"/>
        <v>2.6581594314887451</v>
      </c>
      <c r="U13">
        <f t="shared" si="5"/>
        <v>-0.38409508237197282</v>
      </c>
      <c r="V13">
        <f t="shared" si="6"/>
        <v>-2.2438085844886801</v>
      </c>
      <c r="W13">
        <f t="shared" si="7"/>
        <v>5.6905846541898901</v>
      </c>
      <c r="X13">
        <f t="shared" si="8"/>
        <v>4.6919898779406513</v>
      </c>
      <c r="Y13" t="e">
        <f t="shared" si="9"/>
        <v>#VALUE!</v>
      </c>
      <c r="Z13">
        <f t="shared" si="10"/>
        <v>5.6094717951849598</v>
      </c>
      <c r="AA13">
        <f t="shared" si="11"/>
        <v>10.173362006337944</v>
      </c>
      <c r="AB13">
        <f t="shared" si="12"/>
        <v>7.0999611941109704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ht="14.5">
      <c r="A14" s="1" t="s">
        <v>46</v>
      </c>
      <c r="B14" s="1">
        <v>123.12333333300001</v>
      </c>
      <c r="C14" s="1">
        <v>353.24329999999998</v>
      </c>
      <c r="D14" s="1">
        <v>0.41100000000000003</v>
      </c>
      <c r="E14" s="1">
        <v>85.92</v>
      </c>
      <c r="F14" s="1">
        <v>12.97</v>
      </c>
      <c r="G14" s="1">
        <v>0.68149999999999999</v>
      </c>
      <c r="H14" s="1">
        <v>0.11174937673013501</v>
      </c>
      <c r="I14" s="1">
        <v>292.89</v>
      </c>
      <c r="J14" s="6">
        <v>110.4</v>
      </c>
      <c r="K14" s="4">
        <v>13.1</v>
      </c>
      <c r="L14" s="2">
        <v>293.5</v>
      </c>
      <c r="M14" s="4">
        <v>26611</v>
      </c>
      <c r="N14" s="5">
        <v>1180.589965820313</v>
      </c>
      <c r="P14">
        <f t="shared" si="0"/>
        <v>4.8131865630189097</v>
      </c>
      <c r="Q14">
        <f t="shared" si="1"/>
        <v>5.8671570546473282</v>
      </c>
      <c r="R14">
        <f t="shared" si="2"/>
        <v>-0.8891620644859024</v>
      </c>
      <c r="S14">
        <f t="shared" si="3"/>
        <v>4.4534166307605547</v>
      </c>
      <c r="T14">
        <f t="shared" si="4"/>
        <v>2.5626389983283526</v>
      </c>
      <c r="U14">
        <f t="shared" si="5"/>
        <v>-0.38345902784554975</v>
      </c>
      <c r="V14">
        <f t="shared" si="6"/>
        <v>-2.1914966228629833</v>
      </c>
      <c r="W14">
        <f t="shared" si="7"/>
        <v>5.6797971119056898</v>
      </c>
      <c r="X14">
        <f t="shared" si="8"/>
        <v>4.7041101338429954</v>
      </c>
      <c r="Y14">
        <f t="shared" si="9"/>
        <v>2.5726122302071057</v>
      </c>
      <c r="Z14">
        <f t="shared" si="10"/>
        <v>5.6818776392681514</v>
      </c>
      <c r="AA14">
        <f t="shared" si="11"/>
        <v>10.189079943122826</v>
      </c>
      <c r="AB14">
        <f t="shared" si="12"/>
        <v>7.07376956355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ht="14.5">
      <c r="A15" s="1" t="s">
        <v>47</v>
      </c>
      <c r="B15" s="1">
        <v>112.75</v>
      </c>
      <c r="C15" s="1">
        <v>376.23329999999999</v>
      </c>
      <c r="D15" s="1">
        <v>0.40100000000000002</v>
      </c>
      <c r="E15" s="1">
        <v>86.736666666666594</v>
      </c>
      <c r="F15" s="1">
        <v>13.55</v>
      </c>
      <c r="G15" s="1">
        <v>0.67600000000000005</v>
      </c>
      <c r="H15" s="1">
        <v>0.11343820144830399</v>
      </c>
      <c r="I15" s="1">
        <v>298.88</v>
      </c>
      <c r="J15" s="6">
        <v>110.32</v>
      </c>
      <c r="K15" s="4">
        <v>12.9</v>
      </c>
      <c r="L15" s="2">
        <v>331.3</v>
      </c>
      <c r="M15" s="4">
        <v>25051</v>
      </c>
      <c r="N15" s="5">
        <v>1191.329956054688</v>
      </c>
      <c r="P15">
        <f t="shared" si="0"/>
        <v>4.7251729783827878</v>
      </c>
      <c r="Q15">
        <f t="shared" si="1"/>
        <v>5.9302094296959655</v>
      </c>
      <c r="R15">
        <f t="shared" si="2"/>
        <v>-0.91379385167556781</v>
      </c>
      <c r="S15">
        <f t="shared" si="3"/>
        <v>4.4628767086472081</v>
      </c>
      <c r="T15">
        <f t="shared" si="4"/>
        <v>2.6063865473257102</v>
      </c>
      <c r="U15">
        <f t="shared" si="5"/>
        <v>-0.39156220293917288</v>
      </c>
      <c r="V15">
        <f t="shared" si="6"/>
        <v>-2.1764970709757692</v>
      </c>
      <c r="W15">
        <f t="shared" si="7"/>
        <v>5.7000421550404781</v>
      </c>
      <c r="X15">
        <f t="shared" si="8"/>
        <v>4.7033852334850463</v>
      </c>
      <c r="Y15">
        <f t="shared" si="9"/>
        <v>2.5572273113676265</v>
      </c>
      <c r="Z15">
        <f t="shared" si="10"/>
        <v>5.80302430930585</v>
      </c>
      <c r="AA15">
        <f t="shared" si="11"/>
        <v>10.128669025875903</v>
      </c>
      <c r="AB15">
        <f t="shared" si="12"/>
        <v>7.0828255721742917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 ht="14.5">
      <c r="A16" s="1" t="s">
        <v>48</v>
      </c>
      <c r="B16" s="1">
        <v>105.743333333</v>
      </c>
      <c r="C16" s="1">
        <v>319.47329999999999</v>
      </c>
      <c r="D16" s="1">
        <v>0.42200000000000004</v>
      </c>
      <c r="E16" s="1">
        <v>87.19</v>
      </c>
      <c r="F16" s="1">
        <v>12.03</v>
      </c>
      <c r="G16" s="1">
        <v>0.67366666666666597</v>
      </c>
      <c r="H16" s="1">
        <v>0.115810226367736</v>
      </c>
      <c r="I16" s="1">
        <v>292.85000000000002</v>
      </c>
      <c r="J16" s="6">
        <v>110.71</v>
      </c>
      <c r="K16" s="4">
        <v>13</v>
      </c>
      <c r="L16" s="2">
        <v>320.39999999999998</v>
      </c>
      <c r="M16" s="4">
        <v>31584</v>
      </c>
      <c r="N16" s="5">
        <v>1228.81005859375</v>
      </c>
      <c r="P16">
        <f t="shared" si="0"/>
        <v>4.6610147741708499</v>
      </c>
      <c r="Q16">
        <f t="shared" si="1"/>
        <v>5.7666737022504657</v>
      </c>
      <c r="R16">
        <f t="shared" si="2"/>
        <v>-0.8627499649461251</v>
      </c>
      <c r="S16">
        <f t="shared" si="3"/>
        <v>4.4680896454397239</v>
      </c>
      <c r="T16">
        <f t="shared" si="4"/>
        <v>2.4874035299865875</v>
      </c>
      <c r="U16">
        <f t="shared" si="5"/>
        <v>-0.39501985024662678</v>
      </c>
      <c r="V16">
        <f t="shared" si="6"/>
        <v>-2.1558024071401833</v>
      </c>
      <c r="W16">
        <f t="shared" si="7"/>
        <v>5.6796605325357916</v>
      </c>
      <c r="X16">
        <f t="shared" si="8"/>
        <v>4.706914169871375</v>
      </c>
      <c r="Y16">
        <f t="shared" si="9"/>
        <v>2.5649493574615367</v>
      </c>
      <c r="Z16">
        <f t="shared" si="10"/>
        <v>5.7695702151942037</v>
      </c>
      <c r="AA16">
        <f t="shared" si="11"/>
        <v>10.360405942233209</v>
      </c>
      <c r="AB16">
        <f t="shared" si="12"/>
        <v>7.1138015480644539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ht="14.5">
      <c r="A17" s="1" t="s">
        <v>49</v>
      </c>
      <c r="B17" s="1">
        <v>99.663333333300002</v>
      </c>
      <c r="C17" s="1">
        <v>263.49</v>
      </c>
      <c r="D17" s="1">
        <v>0.35499999999999998</v>
      </c>
      <c r="E17" s="1">
        <v>87.603333333333296</v>
      </c>
      <c r="F17" s="1">
        <v>13.15</v>
      </c>
      <c r="G17" s="1">
        <v>0.67120000000000002</v>
      </c>
      <c r="H17" s="1">
        <v>0.112439948826366</v>
      </c>
      <c r="I17" s="1">
        <v>295.58</v>
      </c>
      <c r="J17" s="6">
        <v>112.93</v>
      </c>
      <c r="K17" s="4">
        <v>13</v>
      </c>
      <c r="L17" s="2">
        <v>297.39999999999998</v>
      </c>
      <c r="M17" s="4">
        <v>33456</v>
      </c>
      <c r="N17" s="5">
        <v>1248.2900390625</v>
      </c>
      <c r="P17">
        <f t="shared" si="0"/>
        <v>4.6017978393468981</v>
      </c>
      <c r="Q17">
        <f t="shared" si="1"/>
        <v>5.5740154165971356</v>
      </c>
      <c r="R17">
        <f t="shared" si="2"/>
        <v>-1.0356374895067213</v>
      </c>
      <c r="S17">
        <f t="shared" si="3"/>
        <v>4.472819048968776</v>
      </c>
      <c r="T17">
        <f t="shared" si="4"/>
        <v>2.5764217586237734</v>
      </c>
      <c r="U17">
        <f t="shared" si="5"/>
        <v>-0.39868812382914059</v>
      </c>
      <c r="V17">
        <f t="shared" si="6"/>
        <v>-2.1853359880633865</v>
      </c>
      <c r="W17">
        <f t="shared" si="7"/>
        <v>5.6889395277864265</v>
      </c>
      <c r="X17">
        <f t="shared" si="8"/>
        <v>4.7267681577355791</v>
      </c>
      <c r="Y17">
        <f t="shared" si="9"/>
        <v>2.5649493574615367</v>
      </c>
      <c r="Z17">
        <f t="shared" si="10"/>
        <v>5.6950780340260545</v>
      </c>
      <c r="AA17">
        <f t="shared" si="11"/>
        <v>10.417986421668415</v>
      </c>
      <c r="AB17">
        <f t="shared" si="12"/>
        <v>7.1295299250229087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 ht="14.5">
      <c r="A18" s="1" t="s">
        <v>50</v>
      </c>
      <c r="B18" s="1">
        <v>97.136666666699995</v>
      </c>
      <c r="C18" s="1">
        <v>154.9633</v>
      </c>
      <c r="D18" s="1">
        <v>0.374</v>
      </c>
      <c r="E18" s="1">
        <v>88.99</v>
      </c>
      <c r="F18" s="1">
        <v>12.23</v>
      </c>
      <c r="G18" s="1">
        <v>0.66796666666666604</v>
      </c>
      <c r="H18" s="1">
        <v>0.1092068608219</v>
      </c>
      <c r="I18" s="1">
        <v>308.24</v>
      </c>
      <c r="J18" s="6">
        <v>113.47</v>
      </c>
      <c r="K18" s="4">
        <v>13.1</v>
      </c>
      <c r="L18" s="2">
        <v>489.1</v>
      </c>
      <c r="M18" s="4">
        <v>37952</v>
      </c>
      <c r="N18" s="5">
        <v>1294.869995117188</v>
      </c>
      <c r="P18">
        <f t="shared" si="0"/>
        <v>4.5761189215944311</v>
      </c>
      <c r="Q18">
        <f t="shared" si="1"/>
        <v>5.0431883146902639</v>
      </c>
      <c r="R18">
        <f t="shared" si="2"/>
        <v>-0.98349948156760514</v>
      </c>
      <c r="S18">
        <f t="shared" si="3"/>
        <v>4.488524003868771</v>
      </c>
      <c r="T18">
        <f t="shared" si="4"/>
        <v>2.503891949699081</v>
      </c>
      <c r="U18">
        <f t="shared" si="5"/>
        <v>-0.40351700689014947</v>
      </c>
      <c r="V18">
        <f t="shared" si="6"/>
        <v>-2.2145113896055539</v>
      </c>
      <c r="W18">
        <f t="shared" si="7"/>
        <v>5.730878700317902</v>
      </c>
      <c r="X18">
        <f t="shared" si="8"/>
        <v>4.7315384848028978</v>
      </c>
      <c r="Y18">
        <f t="shared" si="9"/>
        <v>2.5726122302071057</v>
      </c>
      <c r="Z18">
        <f t="shared" si="10"/>
        <v>6.1925669675453117</v>
      </c>
      <c r="AA18">
        <f t="shared" si="11"/>
        <v>10.544077482357398</v>
      </c>
      <c r="AB18">
        <f t="shared" si="12"/>
        <v>7.1661655792233407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 ht="14.5">
      <c r="A19" s="1" t="s">
        <v>51</v>
      </c>
      <c r="B19" s="1">
        <v>98.933333333299998</v>
      </c>
      <c r="C19" s="1">
        <v>163.08000000000001</v>
      </c>
      <c r="D19" s="1">
        <v>0.34399999999999997</v>
      </c>
      <c r="E19" s="1">
        <v>89.19</v>
      </c>
      <c r="F19" s="1">
        <v>13.7</v>
      </c>
      <c r="G19" s="1">
        <v>0.64083333333333303</v>
      </c>
      <c r="H19" s="1">
        <v>0.100864424526875</v>
      </c>
      <c r="I19" s="1">
        <v>324.05666666666599</v>
      </c>
      <c r="J19" s="6">
        <v>114.34</v>
      </c>
      <c r="K19" s="4">
        <v>13.1</v>
      </c>
      <c r="L19" s="2">
        <v>701.9</v>
      </c>
      <c r="M19" s="4">
        <v>36631</v>
      </c>
      <c r="N19" s="8">
        <v>1270.199951171875</v>
      </c>
      <c r="P19">
        <f t="shared" si="0"/>
        <v>4.5944462226247786</v>
      </c>
      <c r="Q19">
        <f t="shared" si="1"/>
        <v>5.0942408779510524</v>
      </c>
      <c r="R19">
        <f t="shared" si="2"/>
        <v>-1.0671136216087387</v>
      </c>
      <c r="S19">
        <f t="shared" si="3"/>
        <v>4.4907689256781156</v>
      </c>
      <c r="T19">
        <f t="shared" si="4"/>
        <v>2.6173958328340792</v>
      </c>
      <c r="U19">
        <f t="shared" si="5"/>
        <v>-0.44498586627044817</v>
      </c>
      <c r="V19">
        <f t="shared" si="6"/>
        <v>-2.2939779952918142</v>
      </c>
      <c r="W19">
        <f t="shared" si="7"/>
        <v>5.7809183976189509</v>
      </c>
      <c r="X19">
        <f t="shared" si="8"/>
        <v>4.7391764658358255</v>
      </c>
      <c r="Y19">
        <f t="shared" si="9"/>
        <v>2.5726122302071057</v>
      </c>
      <c r="Z19">
        <f t="shared" si="10"/>
        <v>6.5537909437363755</v>
      </c>
      <c r="AA19">
        <f t="shared" si="11"/>
        <v>10.508650155427521</v>
      </c>
      <c r="AB19">
        <f t="shared" si="12"/>
        <v>7.1469296089275849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</row>
    <row r="20" spans="1:34" ht="14.5">
      <c r="A20" s="1" t="s">
        <v>52</v>
      </c>
      <c r="B20" s="1">
        <v>99.486666666700003</v>
      </c>
      <c r="C20" s="1">
        <v>137.6567</v>
      </c>
      <c r="D20" s="1">
        <v>0.32</v>
      </c>
      <c r="E20" s="1">
        <v>93.133333333333297</v>
      </c>
      <c r="F20" s="1">
        <v>13.08</v>
      </c>
      <c r="G20" s="1">
        <v>0.63849999999999996</v>
      </c>
      <c r="H20" s="1">
        <v>8.6304603371893301E-2</v>
      </c>
      <c r="I20" s="1">
        <v>339.31</v>
      </c>
      <c r="J20" s="6">
        <v>116.69</v>
      </c>
      <c r="K20" s="4">
        <v>12.9</v>
      </c>
      <c r="L20" s="2">
        <v>735.1</v>
      </c>
      <c r="M20" s="4">
        <v>36449</v>
      </c>
      <c r="N20" s="5">
        <v>1335.849975585938</v>
      </c>
      <c r="P20">
        <f t="shared" si="0"/>
        <v>4.6000236318355476</v>
      </c>
      <c r="Q20">
        <f t="shared" si="1"/>
        <v>4.9247629045776957</v>
      </c>
      <c r="R20">
        <f t="shared" si="2"/>
        <v>-1.1394342831883648</v>
      </c>
      <c r="S20">
        <f t="shared" si="3"/>
        <v>4.5340321581547514</v>
      </c>
      <c r="T20">
        <f t="shared" si="4"/>
        <v>2.5710843460290524</v>
      </c>
      <c r="U20">
        <f t="shared" si="5"/>
        <v>-0.44863360350954312</v>
      </c>
      <c r="V20">
        <f t="shared" si="6"/>
        <v>-2.4498723408102254</v>
      </c>
      <c r="W20">
        <f t="shared" si="7"/>
        <v>5.8269141437991463</v>
      </c>
      <c r="X20">
        <f t="shared" si="8"/>
        <v>4.7595208458180158</v>
      </c>
      <c r="Y20">
        <f t="shared" si="9"/>
        <v>2.5572273113676265</v>
      </c>
      <c r="Z20">
        <f t="shared" si="10"/>
        <v>6.600006544380042</v>
      </c>
      <c r="AA20">
        <f t="shared" si="11"/>
        <v>10.503669302218212</v>
      </c>
      <c r="AB20">
        <f t="shared" si="12"/>
        <v>7.1973230540680788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t="15.75" customHeight="1">
      <c r="A21" s="1" t="s">
        <v>53</v>
      </c>
      <c r="B21" s="1">
        <v>98.543333333299998</v>
      </c>
      <c r="C21" s="1">
        <v>109.94</v>
      </c>
      <c r="D21" s="1">
        <v>0.33500000000000002</v>
      </c>
      <c r="E21" s="1">
        <v>94.7</v>
      </c>
      <c r="F21" s="1">
        <v>11.19</v>
      </c>
      <c r="G21" s="1">
        <v>0.64400000000000002</v>
      </c>
      <c r="H21" s="1">
        <v>8.1273541348115902E-2</v>
      </c>
      <c r="I21" s="1">
        <v>351.90333333333302</v>
      </c>
      <c r="J21" s="6">
        <v>120.72</v>
      </c>
      <c r="K21" s="4">
        <v>12.9</v>
      </c>
      <c r="L21" s="2">
        <v>900.4</v>
      </c>
      <c r="M21" s="4">
        <v>44474</v>
      </c>
      <c r="N21" s="9">
        <v>1418.300048828125</v>
      </c>
      <c r="P21">
        <f t="shared" si="0"/>
        <v>4.5904963837539601</v>
      </c>
      <c r="Q21">
        <f t="shared" si="1"/>
        <v>4.6999347624325143</v>
      </c>
      <c r="R21">
        <f t="shared" si="2"/>
        <v>-1.0936247471570706</v>
      </c>
      <c r="S21">
        <f t="shared" si="3"/>
        <v>4.5507140001920323</v>
      </c>
      <c r="T21">
        <f t="shared" si="4"/>
        <v>2.4150205223238337</v>
      </c>
      <c r="U21">
        <f t="shared" si="5"/>
        <v>-0.44005655287778339</v>
      </c>
      <c r="V21">
        <f t="shared" si="6"/>
        <v>-2.5099347600696031</v>
      </c>
      <c r="W21">
        <f t="shared" si="7"/>
        <v>5.8633565166706649</v>
      </c>
      <c r="X21">
        <f t="shared" si="8"/>
        <v>4.7934738144595936</v>
      </c>
      <c r="Y21">
        <f t="shared" si="9"/>
        <v>2.5572273113676265</v>
      </c>
      <c r="Z21">
        <f t="shared" si="10"/>
        <v>6.8028391090325773</v>
      </c>
      <c r="AA21">
        <f t="shared" si="11"/>
        <v>10.702660027739377</v>
      </c>
      <c r="AB21">
        <f t="shared" si="12"/>
        <v>7.2572142847277803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ht="15.75" customHeight="1">
      <c r="A22" s="1" t="s">
        <v>54</v>
      </c>
      <c r="B22" s="1">
        <v>96.613333333300005</v>
      </c>
      <c r="C22" s="1">
        <v>93.383330000000001</v>
      </c>
      <c r="D22" s="1">
        <v>0.32500000000000001</v>
      </c>
      <c r="E22" s="1">
        <v>95.5266666666666</v>
      </c>
      <c r="F22" s="1">
        <v>13.49</v>
      </c>
      <c r="G22" s="1">
        <v>0.64270000000000005</v>
      </c>
      <c r="H22" s="1">
        <v>7.6400283905787195E-2</v>
      </c>
      <c r="I22" s="1">
        <v>365.15666666666601</v>
      </c>
      <c r="J22" s="6">
        <v>119.48</v>
      </c>
      <c r="K22" s="4">
        <v>12.7</v>
      </c>
      <c r="L22" s="3">
        <v>1085.7</v>
      </c>
      <c r="M22" s="4">
        <v>45805</v>
      </c>
      <c r="N22" s="5">
        <v>1420.859985351563</v>
      </c>
      <c r="P22">
        <f t="shared" si="0"/>
        <v>4.5707167579183672</v>
      </c>
      <c r="Q22">
        <f t="shared" si="1"/>
        <v>4.53671284964802</v>
      </c>
      <c r="R22">
        <f t="shared" si="2"/>
        <v>-1.1239300966523995</v>
      </c>
      <c r="S22">
        <f t="shared" si="3"/>
        <v>4.5594054406203464</v>
      </c>
      <c r="T22">
        <f t="shared" si="4"/>
        <v>2.6019486702196644</v>
      </c>
      <c r="U22">
        <f t="shared" si="5"/>
        <v>-0.44207722660489646</v>
      </c>
      <c r="V22">
        <f t="shared" si="6"/>
        <v>-2.5717688667722318</v>
      </c>
      <c r="W22">
        <f t="shared" si="7"/>
        <v>5.9003264852366213</v>
      </c>
      <c r="X22">
        <f t="shared" si="8"/>
        <v>4.7831489933479094</v>
      </c>
      <c r="Y22">
        <f t="shared" si="9"/>
        <v>2.5416019934645457</v>
      </c>
      <c r="Z22">
        <f t="shared" si="10"/>
        <v>6.9899802192378067</v>
      </c>
      <c r="AA22">
        <f t="shared" si="11"/>
        <v>10.732148534449308</v>
      </c>
      <c r="AB22">
        <f t="shared" si="12"/>
        <v>7.2590175907664287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ht="15.75" customHeight="1">
      <c r="A23" s="1" t="s">
        <v>55</v>
      </c>
      <c r="B23" s="1">
        <v>92.403333333299997</v>
      </c>
      <c r="C23" s="1">
        <v>69.599999999999994</v>
      </c>
      <c r="D23" s="1">
        <v>0.35399999999999998</v>
      </c>
      <c r="E23" s="1">
        <v>93.483333333333306</v>
      </c>
      <c r="F23" s="1">
        <v>14.5</v>
      </c>
      <c r="G23" s="1">
        <v>0.63976666666666604</v>
      </c>
      <c r="H23" s="1">
        <v>7.4138355869497199E-2</v>
      </c>
      <c r="I23" s="1">
        <v>392.82666666666597</v>
      </c>
      <c r="J23" s="6">
        <v>123</v>
      </c>
      <c r="K23" s="4">
        <v>12.9</v>
      </c>
      <c r="L23" s="3">
        <v>1473.4</v>
      </c>
      <c r="M23" s="4">
        <v>54392</v>
      </c>
      <c r="N23" s="5">
        <v>1503.349975585938</v>
      </c>
      <c r="P23">
        <f t="shared" si="0"/>
        <v>4.526163053032664</v>
      </c>
      <c r="Q23">
        <f t="shared" si="1"/>
        <v>4.242764567340374</v>
      </c>
      <c r="R23">
        <f t="shared" si="2"/>
        <v>-1.0384583658483626</v>
      </c>
      <c r="S23">
        <f t="shared" si="3"/>
        <v>4.5377831672862357</v>
      </c>
      <c r="T23">
        <f t="shared" si="4"/>
        <v>2.6741486494265287</v>
      </c>
      <c r="U23">
        <f t="shared" si="5"/>
        <v>-0.44665175243841532</v>
      </c>
      <c r="V23">
        <f t="shared" si="6"/>
        <v>-2.6018222575305678</v>
      </c>
      <c r="W23">
        <f t="shared" si="7"/>
        <v>5.9733684628385717</v>
      </c>
      <c r="X23">
        <f t="shared" si="8"/>
        <v>4.8121843553724171</v>
      </c>
      <c r="Y23">
        <f t="shared" si="9"/>
        <v>2.5572273113676265</v>
      </c>
      <c r="Z23">
        <f t="shared" si="10"/>
        <v>7.2953279342487134</v>
      </c>
      <c r="AA23">
        <f t="shared" si="11"/>
        <v>10.903972363206295</v>
      </c>
      <c r="AB23">
        <f t="shared" si="12"/>
        <v>7.3154512140018886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ht="15.75" customHeight="1">
      <c r="A24" s="1" t="s">
        <v>56</v>
      </c>
      <c r="B24" s="1">
        <v>90.336666666699998</v>
      </c>
      <c r="C24" s="1">
        <v>99.873329999999996</v>
      </c>
      <c r="D24" s="1">
        <v>0.38900000000000001</v>
      </c>
      <c r="E24" s="1">
        <v>94.16</v>
      </c>
      <c r="F24" s="1">
        <v>21.63</v>
      </c>
      <c r="G24" s="1">
        <v>0.62426666666666597</v>
      </c>
      <c r="H24" s="1">
        <v>6.9447277649566597E-2</v>
      </c>
      <c r="I24" s="1">
        <v>407.356666666666</v>
      </c>
      <c r="J24" s="6">
        <v>125.1</v>
      </c>
      <c r="K24" s="4">
        <v>12.8</v>
      </c>
      <c r="L24" s="3">
        <v>1862.9</v>
      </c>
      <c r="M24" s="4">
        <v>60465</v>
      </c>
      <c r="N24" s="5">
        <v>1526.75</v>
      </c>
      <c r="P24">
        <f t="shared" si="0"/>
        <v>4.5035434319001624</v>
      </c>
      <c r="Q24">
        <f t="shared" si="1"/>
        <v>4.6039026830455168</v>
      </c>
      <c r="R24">
        <f t="shared" si="2"/>
        <v>-0.94417593536369071</v>
      </c>
      <c r="S24">
        <f t="shared" si="3"/>
        <v>4.5449954629520208</v>
      </c>
      <c r="T24">
        <f t="shared" si="4"/>
        <v>3.0740812399649675</v>
      </c>
      <c r="U24">
        <f t="shared" si="5"/>
        <v>-0.47117765147354684</v>
      </c>
      <c r="V24">
        <f t="shared" si="6"/>
        <v>-2.6671874092604182</v>
      </c>
      <c r="W24">
        <f t="shared" si="7"/>
        <v>6.0096891325652022</v>
      </c>
      <c r="X24">
        <f t="shared" si="8"/>
        <v>4.8291134174728656</v>
      </c>
      <c r="Y24">
        <f t="shared" si="9"/>
        <v>2.5494451709255714</v>
      </c>
      <c r="Z24">
        <f t="shared" si="10"/>
        <v>7.5298896922956633</v>
      </c>
      <c r="AA24">
        <f t="shared" si="11"/>
        <v>11.009819964219377</v>
      </c>
      <c r="AB24">
        <f t="shared" si="12"/>
        <v>7.330896572103244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ht="15.75" customHeight="1">
      <c r="A25" s="1" t="s">
        <v>57</v>
      </c>
      <c r="B25" s="1">
        <v>86.34</v>
      </c>
      <c r="C25" s="1">
        <v>95.596670000000003</v>
      </c>
      <c r="D25" s="1">
        <v>0.39200000000000002</v>
      </c>
      <c r="E25" s="1">
        <v>96.143333333333302</v>
      </c>
      <c r="F25" s="1">
        <v>21.3</v>
      </c>
      <c r="G25" s="1">
        <v>0.62970000000000004</v>
      </c>
      <c r="H25" s="1">
        <v>6.9586474707615795E-2</v>
      </c>
      <c r="I25" s="1">
        <v>415.88333333333298</v>
      </c>
      <c r="J25" s="6">
        <v>127.62</v>
      </c>
      <c r="K25" s="4">
        <v>12.7</v>
      </c>
      <c r="L25" s="3">
        <v>1918.2</v>
      </c>
      <c r="M25" s="4">
        <v>63886</v>
      </c>
      <c r="N25" s="7">
        <v>1468.359985351563</v>
      </c>
      <c r="P25">
        <f t="shared" si="0"/>
        <v>4.4582929901273314</v>
      </c>
      <c r="Q25">
        <f t="shared" si="1"/>
        <v>4.5601379868147021</v>
      </c>
      <c r="R25">
        <f t="shared" si="2"/>
        <v>-0.93649343919167449</v>
      </c>
      <c r="S25">
        <f t="shared" si="3"/>
        <v>4.5658401335241514</v>
      </c>
      <c r="T25">
        <f t="shared" si="4"/>
        <v>3.0587070727153796</v>
      </c>
      <c r="U25">
        <f t="shared" si="5"/>
        <v>-0.46251176348744</v>
      </c>
      <c r="V25">
        <f t="shared" si="6"/>
        <v>-2.6651850594396391</v>
      </c>
      <c r="W25">
        <f t="shared" si="7"/>
        <v>6.0304047722102183</v>
      </c>
      <c r="X25">
        <f t="shared" si="8"/>
        <v>4.8490570984402011</v>
      </c>
      <c r="Y25">
        <f t="shared" si="9"/>
        <v>2.5416019934645457</v>
      </c>
      <c r="Z25">
        <f t="shared" si="10"/>
        <v>7.5591425252938507</v>
      </c>
      <c r="AA25">
        <f t="shared" si="11"/>
        <v>11.064855524029626</v>
      </c>
      <c r="AB25">
        <f t="shared" si="12"/>
        <v>7.2919014007416818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ht="15.75" customHeight="1">
      <c r="A26" s="1" t="s">
        <v>58</v>
      </c>
      <c r="B26" s="1">
        <v>85.956666666700002</v>
      </c>
      <c r="C26" s="1">
        <v>148.8167</v>
      </c>
      <c r="D26" s="1">
        <v>0.36099999999999999</v>
      </c>
      <c r="E26" s="1">
        <v>95.343333333333305</v>
      </c>
      <c r="F26" s="1">
        <v>26.12</v>
      </c>
      <c r="G26" s="1">
        <v>0.61706666666666599</v>
      </c>
      <c r="H26" s="1">
        <v>7.08706702829658E-2</v>
      </c>
      <c r="I26" s="1">
        <v>436.33333333333297</v>
      </c>
      <c r="J26" s="6">
        <v>126.43</v>
      </c>
      <c r="K26" s="4">
        <v>12.2</v>
      </c>
      <c r="L26" s="3">
        <v>1889.6</v>
      </c>
      <c r="M26" s="4">
        <v>60968</v>
      </c>
      <c r="N26" s="8">
        <v>1322.699951171875</v>
      </c>
      <c r="P26">
        <f t="shared" si="0"/>
        <v>4.4538432932967478</v>
      </c>
      <c r="Q26">
        <f t="shared" si="1"/>
        <v>5.0027153472843393</v>
      </c>
      <c r="R26">
        <f t="shared" si="2"/>
        <v>-1.0188773206492561</v>
      </c>
      <c r="S26">
        <f t="shared" si="3"/>
        <v>4.5574844117555307</v>
      </c>
      <c r="T26">
        <f t="shared" si="4"/>
        <v>3.2627013044082305</v>
      </c>
      <c r="U26">
        <f t="shared" si="5"/>
        <v>-0.48277821121083569</v>
      </c>
      <c r="V26">
        <f t="shared" si="6"/>
        <v>-2.6468986082822235</v>
      </c>
      <c r="W26">
        <f t="shared" si="7"/>
        <v>6.0784064772417894</v>
      </c>
      <c r="X26">
        <f t="shared" si="8"/>
        <v>4.8396887953238066</v>
      </c>
      <c r="Y26">
        <f t="shared" si="9"/>
        <v>2.5014359517392109</v>
      </c>
      <c r="Z26">
        <f t="shared" si="10"/>
        <v>7.5441204454430979</v>
      </c>
      <c r="AA26">
        <f t="shared" si="11"/>
        <v>11.018104415345954</v>
      </c>
      <c r="AB26">
        <f t="shared" si="12"/>
        <v>7.1874303441165059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 ht="15.75" customHeight="1">
      <c r="A27" s="1" t="s">
        <v>59</v>
      </c>
      <c r="B27" s="1">
        <v>84.066666666700002</v>
      </c>
      <c r="C27" s="1">
        <v>110.5333</v>
      </c>
      <c r="D27" s="1">
        <v>0.40899999999999997</v>
      </c>
      <c r="E27" s="1">
        <v>96.183333333333294</v>
      </c>
      <c r="F27" s="1">
        <v>20.86</v>
      </c>
      <c r="G27" s="1">
        <v>0.60409999999999997</v>
      </c>
      <c r="H27" s="1">
        <v>7.6297143691832894E-2</v>
      </c>
      <c r="I27" s="1">
        <v>458.73333333333301</v>
      </c>
      <c r="J27" s="6">
        <v>130.5</v>
      </c>
      <c r="K27" s="4">
        <v>12.2</v>
      </c>
      <c r="L27" s="3">
        <v>1817.2</v>
      </c>
      <c r="M27" s="4">
        <v>65018</v>
      </c>
      <c r="N27" s="5">
        <v>1280</v>
      </c>
      <c r="P27">
        <f t="shared" si="0"/>
        <v>4.4316101348631056</v>
      </c>
      <c r="Q27">
        <f t="shared" si="1"/>
        <v>4.7053168330248303</v>
      </c>
      <c r="R27">
        <f t="shared" si="2"/>
        <v>-0.89404012293933532</v>
      </c>
      <c r="S27">
        <f t="shared" si="3"/>
        <v>4.5662560924888655</v>
      </c>
      <c r="T27">
        <f t="shared" si="4"/>
        <v>3.0378334495726262</v>
      </c>
      <c r="U27">
        <f t="shared" si="5"/>
        <v>-0.50401553183744152</v>
      </c>
      <c r="V27">
        <f t="shared" si="6"/>
        <v>-2.5731197766239893</v>
      </c>
      <c r="W27">
        <f t="shared" si="7"/>
        <v>6.1284690681002694</v>
      </c>
      <c r="X27">
        <f t="shared" si="8"/>
        <v>4.8713732267627483</v>
      </c>
      <c r="Y27">
        <f t="shared" si="9"/>
        <v>2.5014359517392109</v>
      </c>
      <c r="Z27">
        <f t="shared" si="10"/>
        <v>7.5050521338852478</v>
      </c>
      <c r="AA27">
        <f t="shared" si="11"/>
        <v>11.082419433618579</v>
      </c>
      <c r="AB27">
        <f t="shared" si="12"/>
        <v>7.1546153569136628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ht="15.75" customHeight="1">
      <c r="A28" s="1" t="s">
        <v>60</v>
      </c>
      <c r="B28" s="1">
        <v>83.073333333299999</v>
      </c>
      <c r="C28" s="1">
        <v>138.96</v>
      </c>
      <c r="D28" s="1">
        <v>0.25</v>
      </c>
      <c r="E28" s="1">
        <v>101.416666666666</v>
      </c>
      <c r="F28" s="1">
        <v>27.66</v>
      </c>
      <c r="G28" s="1">
        <v>0.58199999999999996</v>
      </c>
      <c r="H28" s="1">
        <v>8.1121199397522895E-2</v>
      </c>
      <c r="I28" s="1">
        <v>458.39666666666602</v>
      </c>
      <c r="J28" s="6">
        <v>130.54</v>
      </c>
      <c r="K28" s="4">
        <v>12.3</v>
      </c>
      <c r="L28" s="3">
        <v>1813</v>
      </c>
      <c r="M28" s="4">
        <v>49541</v>
      </c>
      <c r="N28" s="5">
        <v>1166.359985351563</v>
      </c>
      <c r="P28">
        <f t="shared" si="0"/>
        <v>4.4197237518462105</v>
      </c>
      <c r="Q28">
        <f t="shared" si="1"/>
        <v>4.9341861219328491</v>
      </c>
      <c r="R28">
        <f t="shared" si="2"/>
        <v>-1.3862943611198906</v>
      </c>
      <c r="S28">
        <f t="shared" si="3"/>
        <v>4.6192374431995207</v>
      </c>
      <c r="T28">
        <f t="shared" si="4"/>
        <v>3.3199873262366122</v>
      </c>
      <c r="U28">
        <f t="shared" si="5"/>
        <v>-0.54128483125069926</v>
      </c>
      <c r="V28">
        <f t="shared" si="6"/>
        <v>-2.5118109537761457</v>
      </c>
      <c r="W28">
        <f t="shared" si="7"/>
        <v>6.1277348937045142</v>
      </c>
      <c r="X28">
        <f t="shared" si="8"/>
        <v>4.8716796932070716</v>
      </c>
      <c r="Y28">
        <f t="shared" si="9"/>
        <v>2.5095992623783721</v>
      </c>
      <c r="Z28">
        <f t="shared" si="10"/>
        <v>7.5027382107548508</v>
      </c>
      <c r="AA28">
        <f t="shared" si="11"/>
        <v>10.810555888548141</v>
      </c>
      <c r="AB28">
        <f t="shared" si="12"/>
        <v>7.0616430545544402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 spans="1:34" ht="15.75" customHeight="1">
      <c r="A29" s="1" t="s">
        <v>61</v>
      </c>
      <c r="B29" s="1">
        <v>102.696666667</v>
      </c>
      <c r="C29" s="1">
        <v>350.92329999999998</v>
      </c>
      <c r="D29" s="1">
        <v>0.16899999999999998</v>
      </c>
      <c r="E29" s="1">
        <v>99.323333333333295</v>
      </c>
      <c r="F29" s="1">
        <v>51.72</v>
      </c>
      <c r="G29" s="1">
        <v>0.59266666666666601</v>
      </c>
      <c r="H29" s="1">
        <v>6.5116714907844195E-2</v>
      </c>
      <c r="I29" s="1">
        <v>359.25</v>
      </c>
      <c r="J29" s="6">
        <v>121.64</v>
      </c>
      <c r="K29" s="4">
        <v>12</v>
      </c>
      <c r="L29" s="3">
        <v>1674.8</v>
      </c>
      <c r="M29" s="4">
        <v>37550</v>
      </c>
      <c r="N29" s="5">
        <v>903.25</v>
      </c>
      <c r="P29">
        <f t="shared" si="0"/>
        <v>4.6317796594165364</v>
      </c>
      <c r="Q29">
        <f t="shared" si="1"/>
        <v>5.8605676810686971</v>
      </c>
      <c r="R29">
        <f t="shared" si="2"/>
        <v>-1.7778565640590638</v>
      </c>
      <c r="S29">
        <f t="shared" si="3"/>
        <v>4.5983805216286751</v>
      </c>
      <c r="T29">
        <f t="shared" si="4"/>
        <v>3.9458445539036568</v>
      </c>
      <c r="U29">
        <f t="shared" si="5"/>
        <v>-0.52312315157639799</v>
      </c>
      <c r="V29">
        <f t="shared" si="6"/>
        <v>-2.7315740053071966</v>
      </c>
      <c r="W29">
        <f t="shared" si="7"/>
        <v>5.8840185249591341</v>
      </c>
      <c r="X29">
        <f t="shared" si="8"/>
        <v>4.801065862809164</v>
      </c>
      <c r="Y29">
        <f t="shared" si="9"/>
        <v>2.4849066497880004</v>
      </c>
      <c r="Z29">
        <f t="shared" si="10"/>
        <v>7.4234490341449879</v>
      </c>
      <c r="AA29">
        <f t="shared" si="11"/>
        <v>10.53342865719228</v>
      </c>
      <c r="AB29">
        <f t="shared" si="12"/>
        <v>6.8059993700277497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ht="15.75" customHeight="1">
      <c r="A30" s="1" t="s">
        <v>62</v>
      </c>
      <c r="B30" s="1">
        <v>99.423333333299993</v>
      </c>
      <c r="C30" s="1">
        <v>357.28</v>
      </c>
      <c r="D30" s="1">
        <v>0.19699999999999998</v>
      </c>
      <c r="E30" s="1">
        <v>91.146666666666604</v>
      </c>
      <c r="F30" s="1">
        <v>45.11</v>
      </c>
      <c r="G30" s="1">
        <v>0.594766666666666</v>
      </c>
      <c r="H30" s="1">
        <v>4.8651983048669203E-2</v>
      </c>
      <c r="I30" s="1">
        <v>315.90666666666601</v>
      </c>
      <c r="J30" s="6">
        <v>122.96</v>
      </c>
      <c r="K30" s="4">
        <v>11.7</v>
      </c>
      <c r="L30" s="3">
        <v>1440.9</v>
      </c>
      <c r="M30" s="4">
        <v>40926</v>
      </c>
      <c r="N30" s="5">
        <v>797.8699951171875</v>
      </c>
      <c r="P30">
        <f t="shared" si="0"/>
        <v>4.5993868278986891</v>
      </c>
      <c r="Q30">
        <f t="shared" si="1"/>
        <v>5.8785197880918476</v>
      </c>
      <c r="R30">
        <f t="shared" si="2"/>
        <v>-1.6245515502441485</v>
      </c>
      <c r="S30">
        <f t="shared" si="3"/>
        <v>4.5124699306991705</v>
      </c>
      <c r="T30">
        <f t="shared" si="4"/>
        <v>3.8091039514203047</v>
      </c>
      <c r="U30">
        <f t="shared" si="5"/>
        <v>-0.5195861072128648</v>
      </c>
      <c r="V30">
        <f t="shared" si="6"/>
        <v>-3.0230627096460276</v>
      </c>
      <c r="W30">
        <f t="shared" si="7"/>
        <v>5.755446811310164</v>
      </c>
      <c r="X30">
        <f t="shared" si="8"/>
        <v>4.8118590992303405</v>
      </c>
      <c r="Y30">
        <f t="shared" si="9"/>
        <v>2.4595888418037104</v>
      </c>
      <c r="Z30">
        <f t="shared" si="10"/>
        <v>7.2730231973388886</v>
      </c>
      <c r="AA30">
        <f t="shared" si="11"/>
        <v>10.619520836882774</v>
      </c>
      <c r="AB30">
        <f t="shared" si="12"/>
        <v>6.6819456707909985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ht="15.75" customHeight="1">
      <c r="A31" s="1" t="s">
        <v>63</v>
      </c>
      <c r="B31" s="1">
        <v>90.89</v>
      </c>
      <c r="C31" s="1">
        <v>229.26669999999999</v>
      </c>
      <c r="D31" s="1">
        <v>0.28899999999999998</v>
      </c>
      <c r="E31" s="1">
        <v>93.16</v>
      </c>
      <c r="F31" s="1">
        <v>30.59</v>
      </c>
      <c r="G31" s="1">
        <v>0.59836666666666605</v>
      </c>
      <c r="H31" s="1">
        <v>4.4687854666282202E-2</v>
      </c>
      <c r="I31" s="1">
        <v>341.62333333333299</v>
      </c>
      <c r="J31" s="6">
        <v>125.45</v>
      </c>
      <c r="K31" s="4">
        <v>11.6</v>
      </c>
      <c r="L31" s="3">
        <v>1316.7</v>
      </c>
      <c r="M31" s="4">
        <v>51465</v>
      </c>
      <c r="N31" s="5">
        <v>919.32000732421875</v>
      </c>
      <c r="P31">
        <f t="shared" si="0"/>
        <v>4.5096499841306787</v>
      </c>
      <c r="Q31">
        <f t="shared" si="1"/>
        <v>5.4348859547211479</v>
      </c>
      <c r="R31">
        <f t="shared" si="2"/>
        <v>-1.2413285908697049</v>
      </c>
      <c r="S31">
        <f t="shared" si="3"/>
        <v>4.5343184450161402</v>
      </c>
      <c r="T31">
        <f t="shared" si="4"/>
        <v>3.420673158162812</v>
      </c>
      <c r="U31">
        <f t="shared" si="5"/>
        <v>-0.51355155797322338</v>
      </c>
      <c r="V31">
        <f t="shared" si="6"/>
        <v>-3.1080535219712719</v>
      </c>
      <c r="W31">
        <f t="shared" si="7"/>
        <v>5.8337087655925934</v>
      </c>
      <c r="X31">
        <f t="shared" si="8"/>
        <v>4.8319072728124315</v>
      </c>
      <c r="Y31">
        <f t="shared" si="9"/>
        <v>2.451005098112319</v>
      </c>
      <c r="Z31">
        <f t="shared" si="10"/>
        <v>7.1828838853622976</v>
      </c>
      <c r="AA31">
        <f t="shared" si="11"/>
        <v>10.848657243960659</v>
      </c>
      <c r="AB31">
        <f t="shared" si="12"/>
        <v>6.8236342742837257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ht="15.75" customHeight="1">
      <c r="A32" s="1" t="s">
        <v>64</v>
      </c>
      <c r="B32" s="1">
        <v>83.79</v>
      </c>
      <c r="C32" s="1">
        <v>139.65</v>
      </c>
      <c r="D32" s="1">
        <v>0.35399999999999998</v>
      </c>
      <c r="E32" s="1">
        <v>95.55</v>
      </c>
      <c r="F32" s="1">
        <v>25.85</v>
      </c>
      <c r="G32" s="1">
        <v>0.625</v>
      </c>
      <c r="H32" s="1">
        <v>4.6494789301937102E-2</v>
      </c>
      <c r="I32" s="1">
        <v>371.6</v>
      </c>
      <c r="J32" s="6">
        <v>128.91</v>
      </c>
      <c r="K32" s="4">
        <v>11.7</v>
      </c>
      <c r="L32" s="3">
        <v>1024.7</v>
      </c>
      <c r="M32" s="4">
        <v>61518</v>
      </c>
      <c r="N32" s="9">
        <v>1057.079956054688</v>
      </c>
      <c r="P32">
        <f t="shared" si="0"/>
        <v>4.4283136686251954</v>
      </c>
      <c r="Q32">
        <f t="shared" si="1"/>
        <v>4.9391392923911859</v>
      </c>
      <c r="R32">
        <f t="shared" si="2"/>
        <v>-1.0384583658483626</v>
      </c>
      <c r="S32">
        <f t="shared" si="3"/>
        <v>4.5596496706862819</v>
      </c>
      <c r="T32">
        <f t="shared" si="4"/>
        <v>3.2523106009544382</v>
      </c>
      <c r="U32">
        <f t="shared" si="5"/>
        <v>-0.47000362924573558</v>
      </c>
      <c r="V32">
        <f t="shared" si="6"/>
        <v>-3.0684150306906539</v>
      </c>
      <c r="W32">
        <f t="shared" si="7"/>
        <v>5.9178180069396831</v>
      </c>
      <c r="X32">
        <f t="shared" si="8"/>
        <v>4.8591144864550131</v>
      </c>
      <c r="Y32">
        <f t="shared" si="9"/>
        <v>2.4595888418037104</v>
      </c>
      <c r="Z32">
        <f t="shared" si="10"/>
        <v>6.9321551658056721</v>
      </c>
      <c r="AA32">
        <f t="shared" si="11"/>
        <v>11.027085093898146</v>
      </c>
      <c r="AB32">
        <f t="shared" si="12"/>
        <v>6.9632656273373419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ht="15.75" customHeight="1">
      <c r="A33" s="1" t="s">
        <v>65</v>
      </c>
      <c r="B33" s="1">
        <v>79.430000000000007</v>
      </c>
      <c r="C33" s="1">
        <v>124.2</v>
      </c>
      <c r="D33" s="1">
        <v>0.36599999999999999</v>
      </c>
      <c r="E33" s="1">
        <v>100.69</v>
      </c>
      <c r="F33" s="1">
        <v>25.63</v>
      </c>
      <c r="G33" s="1">
        <v>0.63353333333333295</v>
      </c>
      <c r="H33" s="1">
        <v>5.0335108695444303E-2</v>
      </c>
      <c r="I33" s="1">
        <v>391.986666666666</v>
      </c>
      <c r="J33" s="6">
        <v>132.08000000000001</v>
      </c>
      <c r="K33" s="4">
        <v>11.8</v>
      </c>
      <c r="L33" s="2">
        <v>972.8</v>
      </c>
      <c r="M33" s="4">
        <v>68588</v>
      </c>
      <c r="N33" s="8">
        <v>1115.099975585938</v>
      </c>
      <c r="P33">
        <f t="shared" si="0"/>
        <v>4.374876130645041</v>
      </c>
      <c r="Q33">
        <f t="shared" si="1"/>
        <v>4.8218931694993783</v>
      </c>
      <c r="R33">
        <f t="shared" si="2"/>
        <v>-1.0051219455807707</v>
      </c>
      <c r="S33">
        <f t="shared" si="3"/>
        <v>4.6120464899275238</v>
      </c>
      <c r="T33">
        <f t="shared" si="4"/>
        <v>3.2437635403759799</v>
      </c>
      <c r="U33">
        <f t="shared" si="5"/>
        <v>-0.45644266287303248</v>
      </c>
      <c r="V33">
        <f t="shared" si="6"/>
        <v>-2.9890524593624481</v>
      </c>
      <c r="W33">
        <f t="shared" si="7"/>
        <v>5.971227825606543</v>
      </c>
      <c r="X33">
        <f t="shared" si="8"/>
        <v>4.8834077996118728</v>
      </c>
      <c r="Y33">
        <f t="shared" si="9"/>
        <v>2.4680995314716192</v>
      </c>
      <c r="Z33">
        <f t="shared" si="10"/>
        <v>6.8801785112119029</v>
      </c>
      <c r="AA33">
        <f t="shared" si="11"/>
        <v>11.135872871298742</v>
      </c>
      <c r="AB33">
        <f t="shared" si="12"/>
        <v>7.01669934407726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ht="15.75" customHeight="1">
      <c r="A34" s="1" t="s">
        <v>66</v>
      </c>
      <c r="B34" s="1">
        <v>79.956666666700002</v>
      </c>
      <c r="C34" s="1">
        <v>129.3167</v>
      </c>
      <c r="D34" s="1">
        <v>0.32299999999999995</v>
      </c>
      <c r="E34" s="1">
        <v>104.81333333333301</v>
      </c>
      <c r="F34" s="1">
        <v>20.57</v>
      </c>
      <c r="G34" s="1">
        <v>0.62263333333333304</v>
      </c>
      <c r="H34" s="1">
        <v>5.28844820756742E-2</v>
      </c>
      <c r="I34" s="1">
        <v>421.38</v>
      </c>
      <c r="J34" s="6">
        <v>136.5</v>
      </c>
      <c r="K34" s="4">
        <v>11.8</v>
      </c>
      <c r="L34" s="2">
        <v>889.9</v>
      </c>
      <c r="M34" s="4">
        <v>70372</v>
      </c>
      <c r="N34" s="5">
        <v>1169.430053710938</v>
      </c>
      <c r="P34">
        <f t="shared" ref="P34:P65" si="13">LN(B34)</f>
        <v>4.3814848212532462</v>
      </c>
      <c r="Q34">
        <f t="shared" ref="Q34:Q65" si="14">LN(C34)</f>
        <v>4.862264434436991</v>
      </c>
      <c r="R34">
        <f t="shared" ref="R34:R65" si="15">LN(D34)</f>
        <v>-1.1301029557594806</v>
      </c>
      <c r="S34">
        <f t="shared" ref="S34:S65" si="16">LN(E34)</f>
        <v>4.6521809902574427</v>
      </c>
      <c r="T34">
        <f t="shared" ref="T34:T65" si="17">LN(F34)</f>
        <v>3.0238337036648657</v>
      </c>
      <c r="U34">
        <f t="shared" ref="U34:U65" si="18">LN(G34)</f>
        <v>-0.47379748348498985</v>
      </c>
      <c r="V34">
        <f t="shared" ref="V34:V65" si="19">LN(H34)</f>
        <v>-2.9396453276570123</v>
      </c>
      <c r="W34">
        <f t="shared" ref="W34:W65" si="20">LN(I34)</f>
        <v>6.043535039398984</v>
      </c>
      <c r="X34">
        <f t="shared" ref="X34:X65" si="21">LN(J34)</f>
        <v>4.9163246146250144</v>
      </c>
      <c r="Y34">
        <f t="shared" ref="Y34:Y65" si="22">LN(K34)</f>
        <v>2.4680995314716192</v>
      </c>
      <c r="Z34">
        <f t="shared" ref="Z34:Z65" si="23">LN(L34)</f>
        <v>6.7911090968628169</v>
      </c>
      <c r="AA34">
        <f t="shared" ref="AA34:AA65" si="24">LN(M34)</f>
        <v>11.161550735758937</v>
      </c>
      <c r="AB34">
        <f t="shared" ref="AB34:AB65" si="25">LN(N34)</f>
        <v>7.0642717755232978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ht="15.75" customHeight="1">
      <c r="A35" s="1" t="s">
        <v>67</v>
      </c>
      <c r="B35" s="1">
        <v>77.08</v>
      </c>
      <c r="C35" s="1">
        <v>131.05330000000001</v>
      </c>
      <c r="D35" s="1">
        <v>0.27500000000000002</v>
      </c>
      <c r="E35" s="1">
        <v>106.72666666666601</v>
      </c>
      <c r="F35" s="1">
        <v>29.55</v>
      </c>
      <c r="G35" s="1">
        <v>0.64543333333333297</v>
      </c>
      <c r="H35" s="1">
        <v>5.7427739446998902E-2</v>
      </c>
      <c r="I35" s="1">
        <v>433.65333333333302</v>
      </c>
      <c r="J35" s="6">
        <v>135.9</v>
      </c>
      <c r="K35" s="4">
        <v>11.8</v>
      </c>
      <c r="L35" s="2">
        <v>898.2</v>
      </c>
      <c r="M35" s="4">
        <v>60936</v>
      </c>
      <c r="N35" s="5">
        <v>1030.7099609375</v>
      </c>
      <c r="P35">
        <f t="shared" si="13"/>
        <v>4.3448438435461654</v>
      </c>
      <c r="Q35">
        <f t="shared" si="14"/>
        <v>4.8756041106809125</v>
      </c>
      <c r="R35">
        <f t="shared" si="15"/>
        <v>-1.2909841813155656</v>
      </c>
      <c r="S35">
        <f t="shared" si="16"/>
        <v>4.6702710489818324</v>
      </c>
      <c r="T35">
        <f t="shared" si="17"/>
        <v>3.3860837438521072</v>
      </c>
      <c r="U35">
        <f t="shared" si="18"/>
        <v>-0.43783335314089478</v>
      </c>
      <c r="V35">
        <f t="shared" si="19"/>
        <v>-2.8572278267646829</v>
      </c>
      <c r="W35">
        <f t="shared" si="20"/>
        <v>6.0722454437914166</v>
      </c>
      <c r="X35">
        <f t="shared" si="21"/>
        <v>4.9119193211570984</v>
      </c>
      <c r="Y35">
        <f t="shared" si="22"/>
        <v>2.4680995314716192</v>
      </c>
      <c r="Z35">
        <f t="shared" si="23"/>
        <v>6.8003927606536374</v>
      </c>
      <c r="AA35">
        <f t="shared" si="24"/>
        <v>11.017579412052624</v>
      </c>
      <c r="AB35">
        <f t="shared" si="25"/>
        <v>6.9380031262412221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ht="15.75" customHeight="1">
      <c r="A36" s="1" t="s">
        <v>68</v>
      </c>
      <c r="B36" s="1">
        <v>76.276666666699995</v>
      </c>
      <c r="C36" s="1">
        <v>121.83</v>
      </c>
      <c r="D36" s="1">
        <v>0.32</v>
      </c>
      <c r="E36" s="1">
        <v>114.186666666666</v>
      </c>
      <c r="F36" s="1">
        <v>24.42</v>
      </c>
      <c r="G36" s="1">
        <v>0.62609999999999999</v>
      </c>
      <c r="H36" s="1">
        <v>5.1929540470323401E-2</v>
      </c>
      <c r="I36" s="1">
        <v>437.50666666666598</v>
      </c>
      <c r="J36" s="6">
        <v>138.86000000000001</v>
      </c>
      <c r="K36" s="4">
        <v>11.9</v>
      </c>
      <c r="L36" s="3">
        <v>1059</v>
      </c>
      <c r="M36" s="4">
        <v>69430</v>
      </c>
      <c r="N36" s="8">
        <v>1141.199951171875</v>
      </c>
      <c r="P36">
        <f t="shared" si="13"/>
        <v>4.3343670811237596</v>
      </c>
      <c r="Q36">
        <f t="shared" si="14"/>
        <v>4.8026266303663165</v>
      </c>
      <c r="R36">
        <f t="shared" si="15"/>
        <v>-1.1394342831883648</v>
      </c>
      <c r="S36">
        <f t="shared" si="16"/>
        <v>4.7378345361732572</v>
      </c>
      <c r="T36">
        <f t="shared" si="17"/>
        <v>3.1954024686825586</v>
      </c>
      <c r="U36">
        <f t="shared" si="18"/>
        <v>-0.46824517623087231</v>
      </c>
      <c r="V36">
        <f t="shared" si="19"/>
        <v>-2.9578674701863719</v>
      </c>
      <c r="W36">
        <f t="shared" si="20"/>
        <v>6.0810919437768067</v>
      </c>
      <c r="X36">
        <f t="shared" si="21"/>
        <v>4.9334662313251272</v>
      </c>
      <c r="Y36">
        <f t="shared" si="22"/>
        <v>2.4765384001174837</v>
      </c>
      <c r="Z36">
        <f t="shared" si="23"/>
        <v>6.9650803456014065</v>
      </c>
      <c r="AA36">
        <f t="shared" si="24"/>
        <v>11.148074329747319</v>
      </c>
      <c r="AB36">
        <f t="shared" si="25"/>
        <v>7.0398355765526937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</row>
    <row r="37" spans="1:34" ht="15.75" customHeight="1">
      <c r="A37" s="1" t="s">
        <v>69</v>
      </c>
      <c r="B37" s="1">
        <v>74.886666666699995</v>
      </c>
      <c r="C37" s="1">
        <v>105.5633</v>
      </c>
      <c r="D37" s="1">
        <v>0.41100000000000003</v>
      </c>
      <c r="E37" s="1">
        <v>117.523333333333</v>
      </c>
      <c r="F37" s="1">
        <v>20.83</v>
      </c>
      <c r="G37" s="1">
        <v>0.623</v>
      </c>
      <c r="H37" s="1">
        <v>5.4151318413426498E-2</v>
      </c>
      <c r="I37" s="1">
        <v>487.08333333333297</v>
      </c>
      <c r="J37" s="6">
        <v>138.61000000000001</v>
      </c>
      <c r="K37" s="4">
        <v>12</v>
      </c>
      <c r="L37" s="3">
        <v>1223.2</v>
      </c>
      <c r="M37" s="4">
        <v>69305</v>
      </c>
      <c r="N37" s="5">
        <v>1257.640014648438</v>
      </c>
      <c r="P37">
        <f t="shared" si="13"/>
        <v>4.3159758595457589</v>
      </c>
      <c r="Q37">
        <f t="shared" si="14"/>
        <v>4.6593107729880892</v>
      </c>
      <c r="R37">
        <f t="shared" si="15"/>
        <v>-0.8891620644859024</v>
      </c>
      <c r="S37">
        <f t="shared" si="16"/>
        <v>4.7666368954297864</v>
      </c>
      <c r="T37">
        <f t="shared" si="17"/>
        <v>3.0363942552728806</v>
      </c>
      <c r="U37">
        <f t="shared" si="18"/>
        <v>-0.47320876019468389</v>
      </c>
      <c r="V37">
        <f t="shared" si="19"/>
        <v>-2.9159729583998324</v>
      </c>
      <c r="W37">
        <f t="shared" si="20"/>
        <v>6.1884352241181677</v>
      </c>
      <c r="X37">
        <f t="shared" si="21"/>
        <v>4.9316642342252619</v>
      </c>
      <c r="Y37">
        <f t="shared" si="22"/>
        <v>2.4849066497880004</v>
      </c>
      <c r="Z37">
        <f t="shared" si="23"/>
        <v>7.1092256546148525</v>
      </c>
      <c r="AA37">
        <f t="shared" si="24"/>
        <v>11.146272332647454</v>
      </c>
      <c r="AB37">
        <f t="shared" si="25"/>
        <v>7.136992239432459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ht="15.75" customHeight="1">
      <c r="A38" s="1" t="s">
        <v>70</v>
      </c>
      <c r="B38" s="1">
        <v>74.209999999999994</v>
      </c>
      <c r="C38" s="1">
        <v>114.03</v>
      </c>
      <c r="D38" s="1">
        <v>0.42599999999999999</v>
      </c>
      <c r="E38" s="1">
        <v>117.973333333333</v>
      </c>
      <c r="F38" s="1">
        <v>18.54</v>
      </c>
      <c r="G38" s="1">
        <v>0.601833333333333</v>
      </c>
      <c r="H38" s="1">
        <v>5.7198970432337799E-2</v>
      </c>
      <c r="I38" s="1">
        <v>546.85333333333301</v>
      </c>
      <c r="J38" s="6">
        <v>141.07</v>
      </c>
      <c r="K38" s="4">
        <v>11.9</v>
      </c>
      <c r="L38" s="3">
        <v>1647.5</v>
      </c>
      <c r="M38" s="4">
        <v>68587</v>
      </c>
      <c r="N38" s="5">
        <v>1325.829956054688</v>
      </c>
      <c r="P38">
        <f t="shared" si="13"/>
        <v>4.3068989119820422</v>
      </c>
      <c r="Q38">
        <f t="shared" si="14"/>
        <v>4.7364615716692668</v>
      </c>
      <c r="R38">
        <f t="shared" si="15"/>
        <v>-0.85331593271276662</v>
      </c>
      <c r="S38">
        <f t="shared" si="16"/>
        <v>4.7704586102258029</v>
      </c>
      <c r="T38">
        <f t="shared" si="17"/>
        <v>2.919930560137709</v>
      </c>
      <c r="U38">
        <f t="shared" si="18"/>
        <v>-0.50777472693273484</v>
      </c>
      <c r="V38">
        <f t="shared" si="19"/>
        <v>-2.8612193801930306</v>
      </c>
      <c r="W38">
        <f t="shared" si="20"/>
        <v>6.304180637279404</v>
      </c>
      <c r="X38">
        <f t="shared" si="21"/>
        <v>4.9492562210864106</v>
      </c>
      <c r="Y38">
        <f t="shared" si="22"/>
        <v>2.4765384001174837</v>
      </c>
      <c r="Z38">
        <f t="shared" si="23"/>
        <v>7.4070142663766623</v>
      </c>
      <c r="AA38">
        <f t="shared" si="24"/>
        <v>11.135858291382576</v>
      </c>
      <c r="AB38">
        <f t="shared" si="25"/>
        <v>7.1897939242531121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 ht="15.75" customHeight="1">
      <c r="A39" s="1" t="s">
        <v>71</v>
      </c>
      <c r="B39" s="1">
        <v>72.67</v>
      </c>
      <c r="C39" s="1">
        <v>108.12</v>
      </c>
      <c r="D39" s="1">
        <v>0.30199999999999999</v>
      </c>
      <c r="E39" s="1">
        <v>118.943333333333</v>
      </c>
      <c r="F39" s="1">
        <v>15.57</v>
      </c>
      <c r="G39" s="1">
        <v>0.60840000000000005</v>
      </c>
      <c r="H39" s="1">
        <v>5.9927993665015902E-2</v>
      </c>
      <c r="I39" s="1">
        <v>569.79666666666606</v>
      </c>
      <c r="J39" s="6">
        <v>141.85</v>
      </c>
      <c r="K39" s="4">
        <v>12</v>
      </c>
      <c r="L39" s="3">
        <v>2145.1999999999998</v>
      </c>
      <c r="M39" s="4">
        <v>62404</v>
      </c>
      <c r="N39" s="5">
        <v>1320.640014648438</v>
      </c>
      <c r="P39">
        <f t="shared" si="13"/>
        <v>4.2859286446285445</v>
      </c>
      <c r="Q39">
        <f t="shared" si="14"/>
        <v>4.6832417214082467</v>
      </c>
      <c r="R39">
        <f t="shared" si="15"/>
        <v>-1.1973282616072674</v>
      </c>
      <c r="S39">
        <f t="shared" si="16"/>
        <v>4.7786471892206448</v>
      </c>
      <c r="T39">
        <f t="shared" si="17"/>
        <v>2.7453459858459071</v>
      </c>
      <c r="U39">
        <f t="shared" si="18"/>
        <v>-0.49692271859699916</v>
      </c>
      <c r="V39">
        <f t="shared" si="19"/>
        <v>-2.8146115430464809</v>
      </c>
      <c r="W39">
        <f t="shared" si="20"/>
        <v>6.3452795720408455</v>
      </c>
      <c r="X39">
        <f t="shared" si="21"/>
        <v>4.95477016125486</v>
      </c>
      <c r="Y39">
        <f t="shared" si="22"/>
        <v>2.4849066497880004</v>
      </c>
      <c r="Z39">
        <f t="shared" si="23"/>
        <v>7.6709880671087705</v>
      </c>
      <c r="AA39">
        <f t="shared" si="24"/>
        <v>11.041384654867141</v>
      </c>
      <c r="AB39">
        <f t="shared" si="25"/>
        <v>7.1858717576561402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ht="15.75" customHeight="1">
      <c r="A40" s="1" t="s">
        <v>72</v>
      </c>
      <c r="B40" s="1">
        <v>74.436666666700006</v>
      </c>
      <c r="C40" s="1">
        <v>144.51</v>
      </c>
      <c r="D40" s="1">
        <v>0.30199999999999999</v>
      </c>
      <c r="E40" s="1">
        <v>120.92</v>
      </c>
      <c r="F40" s="1">
        <v>33.28</v>
      </c>
      <c r="G40" s="1">
        <v>0.59233333333333305</v>
      </c>
      <c r="H40" s="1">
        <v>4.5893804499148101E-2</v>
      </c>
      <c r="I40" s="1">
        <v>549.54333333333295</v>
      </c>
      <c r="J40" s="6">
        <v>141.58000000000001</v>
      </c>
      <c r="K40" s="4">
        <v>11.9</v>
      </c>
      <c r="L40" s="3">
        <v>1394</v>
      </c>
      <c r="M40" s="4">
        <v>52324</v>
      </c>
      <c r="N40" s="5">
        <v>1131.420043945313</v>
      </c>
      <c r="P40">
        <f t="shared" si="13"/>
        <v>4.3099486519791341</v>
      </c>
      <c r="Q40">
        <f t="shared" si="14"/>
        <v>4.9733487093102386</v>
      </c>
      <c r="R40">
        <f t="shared" si="15"/>
        <v>-1.1973282616072674</v>
      </c>
      <c r="S40">
        <f t="shared" si="16"/>
        <v>4.7951291699112577</v>
      </c>
      <c r="T40">
        <f t="shared" si="17"/>
        <v>3.5049566159530077</v>
      </c>
      <c r="U40">
        <f t="shared" si="18"/>
        <v>-0.52368573949559594</v>
      </c>
      <c r="V40">
        <f t="shared" si="19"/>
        <v>-3.0814251492580866</v>
      </c>
      <c r="W40">
        <f t="shared" si="20"/>
        <v>6.3090876303037282</v>
      </c>
      <c r="X40">
        <f t="shared" si="21"/>
        <v>4.9528649283460435</v>
      </c>
      <c r="Y40">
        <f t="shared" si="22"/>
        <v>2.4765384001174837</v>
      </c>
      <c r="Z40">
        <f t="shared" si="23"/>
        <v>7.2399325913204695</v>
      </c>
      <c r="AA40">
        <f t="shared" si="24"/>
        <v>10.865210435808118</v>
      </c>
      <c r="AB40">
        <f t="shared" si="25"/>
        <v>7.0312287988077342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ht="15.75" customHeight="1">
      <c r="A41" s="1" t="s">
        <v>73</v>
      </c>
      <c r="B41" s="1">
        <v>78.556666666699996</v>
      </c>
      <c r="C41" s="1">
        <v>163.6533</v>
      </c>
      <c r="D41" s="1">
        <v>0.314</v>
      </c>
      <c r="E41" s="1">
        <v>118.516666666666</v>
      </c>
      <c r="F41" s="1">
        <v>27.05</v>
      </c>
      <c r="G41" s="1">
        <v>0.60253333333333303</v>
      </c>
      <c r="H41" s="1">
        <v>3.6711598241700297E-2</v>
      </c>
      <c r="I41" s="1">
        <v>501.26333333333298</v>
      </c>
      <c r="J41" s="6">
        <v>140.87</v>
      </c>
      <c r="K41" s="4">
        <v>12</v>
      </c>
      <c r="L41" s="3">
        <v>1154.8</v>
      </c>
      <c r="M41" s="4">
        <v>56754</v>
      </c>
      <c r="N41" s="8">
        <v>1257.599975585938</v>
      </c>
      <c r="P41">
        <f t="shared" si="13"/>
        <v>4.3638202327323183</v>
      </c>
      <c r="Q41">
        <f t="shared" si="14"/>
        <v>5.0977501657301305</v>
      </c>
      <c r="R41">
        <f t="shared" si="15"/>
        <v>-1.1583622930738837</v>
      </c>
      <c r="S41">
        <f t="shared" si="16"/>
        <v>4.7750535976614117</v>
      </c>
      <c r="T41">
        <f t="shared" si="17"/>
        <v>3.2976870052924907</v>
      </c>
      <c r="U41">
        <f t="shared" si="18"/>
        <v>-0.50661229011312259</v>
      </c>
      <c r="V41">
        <f t="shared" si="19"/>
        <v>-3.3046625454638594</v>
      </c>
      <c r="W41">
        <f t="shared" si="20"/>
        <v>6.2171315784332508</v>
      </c>
      <c r="X41">
        <f t="shared" si="21"/>
        <v>4.9478374792722155</v>
      </c>
      <c r="Y41">
        <f t="shared" si="22"/>
        <v>2.4849066497880004</v>
      </c>
      <c r="Z41">
        <f t="shared" si="23"/>
        <v>7.0516824477887798</v>
      </c>
      <c r="AA41">
        <f t="shared" si="24"/>
        <v>10.946481417441225</v>
      </c>
      <c r="AB41">
        <f t="shared" si="25"/>
        <v>7.1369604022617246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ht="15.75" customHeight="1">
      <c r="A42" s="1" t="s">
        <v>74</v>
      </c>
      <c r="B42" s="1">
        <v>77.066666666700002</v>
      </c>
      <c r="C42" s="1">
        <v>139.57669999999999</v>
      </c>
      <c r="D42" s="1">
        <v>0.35</v>
      </c>
      <c r="E42" s="1">
        <v>112.17666666666599</v>
      </c>
      <c r="F42" s="1">
        <v>17.79</v>
      </c>
      <c r="G42" s="1">
        <v>0.60206666666666597</v>
      </c>
      <c r="H42" s="1">
        <v>3.0484610276163501E-2</v>
      </c>
      <c r="I42" s="1">
        <v>494.82333333333298</v>
      </c>
      <c r="J42" s="6">
        <v>140.11000000000001</v>
      </c>
      <c r="K42" s="4">
        <v>11.9</v>
      </c>
      <c r="L42" s="3">
        <v>1185.5</v>
      </c>
      <c r="M42" s="4">
        <v>64511</v>
      </c>
      <c r="N42" s="5">
        <v>1408.469970703125</v>
      </c>
      <c r="P42">
        <f t="shared" si="13"/>
        <v>4.3446708481305452</v>
      </c>
      <c r="Q42">
        <f t="shared" si="14"/>
        <v>4.9386142709538818</v>
      </c>
      <c r="R42">
        <f t="shared" si="15"/>
        <v>-1.0498221244986778</v>
      </c>
      <c r="S42">
        <f t="shared" si="16"/>
        <v>4.7200750094888324</v>
      </c>
      <c r="T42">
        <f t="shared" si="17"/>
        <v>2.8786365016777435</v>
      </c>
      <c r="U42">
        <f t="shared" si="18"/>
        <v>-0.50738709783354952</v>
      </c>
      <c r="V42">
        <f t="shared" si="19"/>
        <v>-3.4905333038220512</v>
      </c>
      <c r="W42">
        <f t="shared" si="20"/>
        <v>6.2042007965069832</v>
      </c>
      <c r="X42">
        <f t="shared" si="21"/>
        <v>4.9424278283831402</v>
      </c>
      <c r="Y42">
        <f t="shared" si="22"/>
        <v>2.4765384001174837</v>
      </c>
      <c r="Z42">
        <f t="shared" si="23"/>
        <v>7.0779199055054605</v>
      </c>
      <c r="AA42">
        <f t="shared" si="24"/>
        <v>11.07459103087878</v>
      </c>
      <c r="AB42">
        <f t="shared" si="25"/>
        <v>7.250259267034572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ht="15.75" customHeight="1">
      <c r="A43" s="1" t="s">
        <v>75</v>
      </c>
      <c r="B43" s="1">
        <v>84.543333333299998</v>
      </c>
      <c r="C43" s="1">
        <v>143.47</v>
      </c>
      <c r="D43" s="1">
        <v>0.29199999999999998</v>
      </c>
      <c r="E43" s="1">
        <v>113.29</v>
      </c>
      <c r="F43" s="1">
        <v>19.43</v>
      </c>
      <c r="G43" s="1">
        <v>0.61643333333333294</v>
      </c>
      <c r="H43" s="1">
        <v>1.8057152824316101E-2</v>
      </c>
      <c r="I43" s="1">
        <v>486.97333333333302</v>
      </c>
      <c r="J43" s="6">
        <v>143.52000000000001</v>
      </c>
      <c r="K43" s="4">
        <v>11.9</v>
      </c>
      <c r="L43" s="3">
        <v>1115.2</v>
      </c>
      <c r="M43" s="4">
        <v>54355</v>
      </c>
      <c r="N43" s="5">
        <v>1362.160034179688</v>
      </c>
      <c r="P43">
        <f t="shared" si="13"/>
        <v>4.4372642234280528</v>
      </c>
      <c r="Q43">
        <f t="shared" si="14"/>
        <v>4.9661259541102982</v>
      </c>
      <c r="R43">
        <f t="shared" si="15"/>
        <v>-1.2310014767138553</v>
      </c>
      <c r="S43">
        <f t="shared" si="16"/>
        <v>4.7299509028853972</v>
      </c>
      <c r="T43">
        <f t="shared" si="17"/>
        <v>2.9668182633893485</v>
      </c>
      <c r="U43">
        <f t="shared" si="18"/>
        <v>-0.48380509955941647</v>
      </c>
      <c r="V43">
        <f t="shared" si="19"/>
        <v>-4.0142133943453144</v>
      </c>
      <c r="W43">
        <f t="shared" si="20"/>
        <v>6.1882093645676264</v>
      </c>
      <c r="X43">
        <f t="shared" si="21"/>
        <v>4.9664743983104858</v>
      </c>
      <c r="Y43">
        <f t="shared" si="22"/>
        <v>2.4765384001174837</v>
      </c>
      <c r="Z43">
        <f t="shared" si="23"/>
        <v>7.0167890400062598</v>
      </c>
      <c r="AA43">
        <f t="shared" si="24"/>
        <v>10.903291884638101</v>
      </c>
      <c r="AB43">
        <f t="shared" si="25"/>
        <v>7.2168269792046589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ht="15.75" customHeight="1">
      <c r="A44" s="1" t="s">
        <v>76</v>
      </c>
      <c r="B44" s="1">
        <v>86.813333333299994</v>
      </c>
      <c r="C44" s="1">
        <v>128.8767</v>
      </c>
      <c r="D44" s="1">
        <v>0.311</v>
      </c>
      <c r="E44" s="1">
        <v>113.76</v>
      </c>
      <c r="F44" s="1">
        <v>17.38</v>
      </c>
      <c r="G44" s="1">
        <v>0.59530000000000005</v>
      </c>
      <c r="H44" s="1">
        <v>1.46958982539553E-2</v>
      </c>
      <c r="I44" s="1">
        <v>482.37</v>
      </c>
      <c r="J44" s="6">
        <v>143.69</v>
      </c>
      <c r="K44" s="4">
        <v>11.8</v>
      </c>
      <c r="L44" s="3">
        <v>1059.7</v>
      </c>
      <c r="M44" s="4">
        <v>59176</v>
      </c>
      <c r="N44" s="7">
        <v>1440.670043945313</v>
      </c>
      <c r="P44">
        <f t="shared" si="13"/>
        <v>4.463760219700168</v>
      </c>
      <c r="Q44">
        <f t="shared" si="14"/>
        <v>4.8588561333267473</v>
      </c>
      <c r="R44">
        <f t="shared" si="15"/>
        <v>-1.1679623668029029</v>
      </c>
      <c r="S44">
        <f t="shared" si="16"/>
        <v>4.7340909660549304</v>
      </c>
      <c r="T44">
        <f t="shared" si="17"/>
        <v>2.8553201198372458</v>
      </c>
      <c r="U44">
        <f t="shared" si="18"/>
        <v>-0.51868979882279254</v>
      </c>
      <c r="V44">
        <f t="shared" si="19"/>
        <v>-4.2201868544768324</v>
      </c>
      <c r="W44">
        <f t="shared" si="20"/>
        <v>6.1787114544244295</v>
      </c>
      <c r="X44">
        <f t="shared" si="21"/>
        <v>4.9676582012411155</v>
      </c>
      <c r="Y44">
        <f t="shared" si="22"/>
        <v>2.4680995314716192</v>
      </c>
      <c r="Z44">
        <f t="shared" si="23"/>
        <v>6.9657411281807899</v>
      </c>
      <c r="AA44">
        <f t="shared" si="24"/>
        <v>10.988271333267704</v>
      </c>
      <c r="AB44">
        <f t="shared" si="25"/>
        <v>7.2728635926430671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ht="15.75" customHeight="1">
      <c r="A45" s="1" t="s">
        <v>77</v>
      </c>
      <c r="B45" s="1">
        <v>87.943333333300004</v>
      </c>
      <c r="C45" s="1">
        <v>108.0767</v>
      </c>
      <c r="D45" s="1">
        <v>0.32299999999999995</v>
      </c>
      <c r="E45" s="1">
        <v>111.346666666666</v>
      </c>
      <c r="F45" s="1">
        <v>17.5</v>
      </c>
      <c r="G45" s="1">
        <v>0.60666666666666602</v>
      </c>
      <c r="H45" s="1">
        <v>1.3803760738461301E-2</v>
      </c>
      <c r="I45" s="1">
        <v>485.64666666666602</v>
      </c>
      <c r="J45" s="6">
        <v>144.15</v>
      </c>
      <c r="K45" s="4">
        <v>11.7</v>
      </c>
      <c r="L45" s="2">
        <v>990.2</v>
      </c>
      <c r="M45" s="4">
        <v>60952</v>
      </c>
      <c r="N45" s="5">
        <v>1426.18994140625</v>
      </c>
      <c r="P45">
        <f t="shared" si="13"/>
        <v>4.4766926676658683</v>
      </c>
      <c r="Q45">
        <f t="shared" si="14"/>
        <v>4.6828411602472402</v>
      </c>
      <c r="R45">
        <f t="shared" si="15"/>
        <v>-1.1301029557594806</v>
      </c>
      <c r="S45">
        <f t="shared" si="16"/>
        <v>4.712648457616913</v>
      </c>
      <c r="T45">
        <f t="shared" si="17"/>
        <v>2.8622008809294686</v>
      </c>
      <c r="U45">
        <f t="shared" si="18"/>
        <v>-0.49977578757940677</v>
      </c>
      <c r="V45">
        <f t="shared" si="19"/>
        <v>-4.2828142066652628</v>
      </c>
      <c r="W45">
        <f t="shared" si="20"/>
        <v>6.1854813361712608</v>
      </c>
      <c r="X45">
        <f t="shared" si="21"/>
        <v>4.9708544240844112</v>
      </c>
      <c r="Y45">
        <f t="shared" si="22"/>
        <v>2.4595888418037104</v>
      </c>
      <c r="Z45">
        <f t="shared" si="23"/>
        <v>6.8979069429273228</v>
      </c>
      <c r="AA45">
        <f t="shared" si="24"/>
        <v>11.017841948152846</v>
      </c>
      <c r="AB45">
        <f t="shared" si="25"/>
        <v>7.262761790846187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ht="15.75" customHeight="1">
      <c r="A46" s="1" t="s">
        <v>78</v>
      </c>
      <c r="B46" s="1">
        <v>84.183333333299998</v>
      </c>
      <c r="C46" s="1">
        <v>120.8567</v>
      </c>
      <c r="D46" s="1">
        <v>0.33899999999999997</v>
      </c>
      <c r="E46" s="1">
        <v>111.626666666666</v>
      </c>
      <c r="F46" s="1">
        <v>14.16</v>
      </c>
      <c r="G46" s="1">
        <v>0.5917</v>
      </c>
      <c r="H46" s="1">
        <v>1.87239229758825E-2</v>
      </c>
      <c r="I46" s="1">
        <v>484.44</v>
      </c>
      <c r="J46" s="6">
        <v>145.04</v>
      </c>
      <c r="K46" s="4">
        <v>11.8</v>
      </c>
      <c r="L46" s="2">
        <v>888.7</v>
      </c>
      <c r="M46" s="4">
        <v>56352</v>
      </c>
      <c r="N46" s="5">
        <v>1569.18994140625</v>
      </c>
      <c r="P46">
        <f t="shared" si="13"/>
        <v>4.4329969602455561</v>
      </c>
      <c r="Q46">
        <f t="shared" si="14"/>
        <v>4.7946055462415957</v>
      </c>
      <c r="R46">
        <f t="shared" si="15"/>
        <v>-1.0817551716016869</v>
      </c>
      <c r="S46">
        <f t="shared" si="16"/>
        <v>4.7151599700295739</v>
      </c>
      <c r="T46">
        <f t="shared" si="17"/>
        <v>2.6504210882655737</v>
      </c>
      <c r="U46">
        <f t="shared" si="18"/>
        <v>-0.52475552929948865</v>
      </c>
      <c r="V46">
        <f t="shared" si="19"/>
        <v>-3.9779532692099786</v>
      </c>
      <c r="W46">
        <f t="shared" si="20"/>
        <v>6.1829935846528494</v>
      </c>
      <c r="X46">
        <f t="shared" si="21"/>
        <v>4.9770095664465952</v>
      </c>
      <c r="Y46">
        <f t="shared" si="22"/>
        <v>2.4680995314716192</v>
      </c>
      <c r="Z46">
        <f t="shared" si="23"/>
        <v>6.7897597207444296</v>
      </c>
      <c r="AA46">
        <f t="shared" si="24"/>
        <v>10.939373011295933</v>
      </c>
      <c r="AB46">
        <f t="shared" si="25"/>
        <v>7.3583148043009929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</row>
    <row r="47" spans="1:34" ht="15.75" customHeight="1">
      <c r="A47" s="1" t="s">
        <v>79</v>
      </c>
      <c r="B47" s="1">
        <v>85.936666666700006</v>
      </c>
      <c r="C47" s="1">
        <v>139.4333</v>
      </c>
      <c r="D47" s="1">
        <v>0.29699999999999999</v>
      </c>
      <c r="E47" s="1">
        <v>109.49</v>
      </c>
      <c r="F47" s="1">
        <v>15.56</v>
      </c>
      <c r="G47" s="1">
        <v>0.58413333333333295</v>
      </c>
      <c r="H47" s="1">
        <v>2.6953208814081801E-2</v>
      </c>
      <c r="I47" s="1">
        <v>477.02</v>
      </c>
      <c r="J47" s="6">
        <v>146.35</v>
      </c>
      <c r="K47" s="4">
        <v>11.6</v>
      </c>
      <c r="L47" s="2">
        <v>902.7</v>
      </c>
      <c r="M47" s="4">
        <v>47457</v>
      </c>
      <c r="N47" s="5">
        <v>1606.280029296875</v>
      </c>
      <c r="P47">
        <f t="shared" si="13"/>
        <v>4.4536105908445656</v>
      </c>
      <c r="Q47">
        <f t="shared" si="14"/>
        <v>4.9375863507171411</v>
      </c>
      <c r="R47">
        <f t="shared" si="15"/>
        <v>-1.2140231401794375</v>
      </c>
      <c r="S47">
        <f t="shared" si="16"/>
        <v>4.6958332208853335</v>
      </c>
      <c r="T47">
        <f t="shared" si="17"/>
        <v>2.7447035187502458</v>
      </c>
      <c r="U47">
        <f t="shared" si="18"/>
        <v>-0.53762601171050406</v>
      </c>
      <c r="V47">
        <f t="shared" si="19"/>
        <v>-3.6136529232572792</v>
      </c>
      <c r="W47">
        <f t="shared" si="20"/>
        <v>6.1675584187305308</v>
      </c>
      <c r="X47">
        <f t="shared" si="21"/>
        <v>4.9860010131378951</v>
      </c>
      <c r="Y47">
        <f t="shared" si="22"/>
        <v>2.451005098112319</v>
      </c>
      <c r="Z47">
        <f t="shared" si="23"/>
        <v>6.8053902723041091</v>
      </c>
      <c r="AA47">
        <f t="shared" si="24"/>
        <v>10.767579316866689</v>
      </c>
      <c r="AB47">
        <f t="shared" si="25"/>
        <v>7.3816762437508761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ht="15.75" customHeight="1">
      <c r="A48" s="1" t="s">
        <v>80</v>
      </c>
      <c r="B48" s="1">
        <v>95.433333333299998</v>
      </c>
      <c r="C48" s="1">
        <v>185.99</v>
      </c>
      <c r="D48" s="1">
        <v>0.31</v>
      </c>
      <c r="E48" s="1">
        <v>108.11</v>
      </c>
      <c r="F48" s="1">
        <v>15.69</v>
      </c>
      <c r="G48" s="1">
        <v>0.577666666666666</v>
      </c>
      <c r="H48" s="1">
        <v>3.3780080428622503E-2</v>
      </c>
      <c r="I48" s="1">
        <v>469.67666666666599</v>
      </c>
      <c r="J48" s="6">
        <v>147.80000000000001</v>
      </c>
      <c r="K48" s="4">
        <v>11.6</v>
      </c>
      <c r="L48" s="2">
        <v>836.2</v>
      </c>
      <c r="M48" s="4">
        <v>52338</v>
      </c>
      <c r="N48" s="5">
        <v>1681.550048828125</v>
      </c>
      <c r="P48">
        <f t="shared" si="13"/>
        <v>4.5584279234356107</v>
      </c>
      <c r="Q48">
        <f t="shared" si="14"/>
        <v>5.2256929088270354</v>
      </c>
      <c r="R48">
        <f t="shared" si="15"/>
        <v>-1.1711829815029451</v>
      </c>
      <c r="S48">
        <f t="shared" si="16"/>
        <v>4.6831492273046802</v>
      </c>
      <c r="T48">
        <f t="shared" si="17"/>
        <v>2.753023566744941</v>
      </c>
      <c r="U48">
        <f t="shared" si="18"/>
        <v>-0.54875827793464182</v>
      </c>
      <c r="V48">
        <f t="shared" si="19"/>
        <v>-3.3878839866514245</v>
      </c>
      <c r="W48">
        <f t="shared" si="20"/>
        <v>6.152044514700143</v>
      </c>
      <c r="X48">
        <f t="shared" si="21"/>
        <v>4.9958600085141018</v>
      </c>
      <c r="Y48">
        <f t="shared" si="22"/>
        <v>2.451005098112319</v>
      </c>
      <c r="Z48">
        <f t="shared" si="23"/>
        <v>6.7288678189224651</v>
      </c>
      <c r="AA48">
        <f t="shared" si="24"/>
        <v>10.865477963661274</v>
      </c>
      <c r="AB48">
        <f t="shared" si="25"/>
        <v>7.4274712951311441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</row>
    <row r="49" spans="1:34" ht="15.75" customHeight="1">
      <c r="A49" s="1" t="s">
        <v>81</v>
      </c>
      <c r="B49" s="1">
        <v>94.016666666700004</v>
      </c>
      <c r="C49" s="1">
        <v>182.57</v>
      </c>
      <c r="D49" s="1">
        <v>0.29299999999999998</v>
      </c>
      <c r="E49" s="1">
        <v>109.06333333333301</v>
      </c>
      <c r="F49" s="1">
        <v>13.72</v>
      </c>
      <c r="G49" s="1">
        <v>0.58853333333333302</v>
      </c>
      <c r="H49" s="1">
        <v>3.7390631340481699E-2</v>
      </c>
      <c r="I49" s="1">
        <v>462.66</v>
      </c>
      <c r="J49" s="6">
        <v>148.75</v>
      </c>
      <c r="K49" s="4">
        <v>11.7</v>
      </c>
      <c r="L49" s="2">
        <v>769.8</v>
      </c>
      <c r="M49" s="4">
        <v>51507</v>
      </c>
      <c r="N49" s="5">
        <v>1848.359985351563</v>
      </c>
      <c r="P49">
        <f t="shared" si="13"/>
        <v>4.54347207151823</v>
      </c>
      <c r="Q49">
        <f t="shared" si="14"/>
        <v>5.2071336611254191</v>
      </c>
      <c r="R49">
        <f t="shared" si="15"/>
        <v>-1.2275826699650698</v>
      </c>
      <c r="S49">
        <f t="shared" si="16"/>
        <v>4.6919287532462528</v>
      </c>
      <c r="T49">
        <f t="shared" si="17"/>
        <v>2.6188546222977394</v>
      </c>
      <c r="U49">
        <f t="shared" si="18"/>
        <v>-0.53012171270772068</v>
      </c>
      <c r="V49">
        <f t="shared" si="19"/>
        <v>-3.2863351048593468</v>
      </c>
      <c r="W49">
        <f t="shared" si="20"/>
        <v>6.1369924430729244</v>
      </c>
      <c r="X49">
        <f t="shared" si="21"/>
        <v>5.0022670444257393</v>
      </c>
      <c r="Y49">
        <f t="shared" si="22"/>
        <v>2.4595888418037104</v>
      </c>
      <c r="Z49">
        <f t="shared" si="23"/>
        <v>6.6461307408496459</v>
      </c>
      <c r="AA49">
        <f t="shared" si="24"/>
        <v>10.849472999745322</v>
      </c>
      <c r="AB49">
        <f t="shared" si="25"/>
        <v>7.5220540304992669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</row>
    <row r="50" spans="1:34" ht="15.75" customHeight="1">
      <c r="A50" s="1" t="s">
        <v>82</v>
      </c>
      <c r="B50" s="1">
        <v>94</v>
      </c>
      <c r="C50" s="1">
        <v>185.44669999999999</v>
      </c>
      <c r="D50" s="1">
        <v>0.317</v>
      </c>
      <c r="E50" s="1">
        <v>108.22666666666601</v>
      </c>
      <c r="F50" s="1">
        <v>15.43</v>
      </c>
      <c r="G50" s="1">
        <v>0.577633333333333</v>
      </c>
      <c r="H50" s="1">
        <v>4.2503399624120697E-2</v>
      </c>
      <c r="I50" s="1">
        <v>464.29333333333301</v>
      </c>
      <c r="J50" s="6">
        <v>147.79</v>
      </c>
      <c r="K50" s="4">
        <v>11.4</v>
      </c>
      <c r="L50" s="2">
        <v>728.2</v>
      </c>
      <c r="M50" s="4">
        <v>50415</v>
      </c>
      <c r="N50" s="5">
        <v>1872.339965820313</v>
      </c>
      <c r="P50">
        <f t="shared" si="13"/>
        <v>4.5432947822700038</v>
      </c>
      <c r="Q50">
        <f t="shared" si="14"/>
        <v>5.2227675092234866</v>
      </c>
      <c r="R50">
        <f t="shared" si="15"/>
        <v>-1.1488535051048565</v>
      </c>
      <c r="S50">
        <f t="shared" si="16"/>
        <v>4.684227793224859</v>
      </c>
      <c r="T50">
        <f t="shared" si="17"/>
        <v>2.7363136663750693</v>
      </c>
      <c r="U50">
        <f t="shared" si="18"/>
        <v>-0.54881598300404755</v>
      </c>
      <c r="V50">
        <f t="shared" si="19"/>
        <v>-3.1581712150951069</v>
      </c>
      <c r="W50">
        <f t="shared" si="20"/>
        <v>6.1405165363902325</v>
      </c>
      <c r="X50">
        <f t="shared" si="21"/>
        <v>4.9957923472264811</v>
      </c>
      <c r="Y50">
        <f t="shared" si="22"/>
        <v>2.4336133554004498</v>
      </c>
      <c r="Z50">
        <f t="shared" si="23"/>
        <v>6.590575735741333</v>
      </c>
      <c r="AA50">
        <f t="shared" si="24"/>
        <v>10.828044028827316</v>
      </c>
      <c r="AB50">
        <f t="shared" si="25"/>
        <v>7.5349442462224676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ht="15.75" customHeight="1">
      <c r="A51" s="1" t="s">
        <v>83</v>
      </c>
      <c r="B51" s="1">
        <v>87.193333333300004</v>
      </c>
      <c r="C51" s="1">
        <v>148.85329999999999</v>
      </c>
      <c r="D51" s="1">
        <v>0.34600000000000003</v>
      </c>
      <c r="E51" s="1">
        <v>106.906666666666</v>
      </c>
      <c r="F51" s="1">
        <v>12.13</v>
      </c>
      <c r="G51" s="1">
        <v>0.58140000000000003</v>
      </c>
      <c r="H51" s="1">
        <v>4.02540191139171E-2</v>
      </c>
      <c r="I51" s="1">
        <v>497.67333333333301</v>
      </c>
      <c r="J51" s="6">
        <v>143.41999999999999</v>
      </c>
      <c r="K51" s="4">
        <v>11.4</v>
      </c>
      <c r="L51" s="2">
        <v>796.7</v>
      </c>
      <c r="M51" s="4">
        <v>53168</v>
      </c>
      <c r="N51" s="5">
        <v>1960.22998046875</v>
      </c>
      <c r="P51">
        <f t="shared" si="13"/>
        <v>4.468127875392514</v>
      </c>
      <c r="Q51">
        <f t="shared" si="14"/>
        <v>5.0029612571858033</v>
      </c>
      <c r="R51">
        <f t="shared" si="15"/>
        <v>-1.0613165039244128</v>
      </c>
      <c r="S51">
        <f t="shared" si="16"/>
        <v>4.671956179666136</v>
      </c>
      <c r="T51">
        <f t="shared" si="17"/>
        <v>2.4956817229559589</v>
      </c>
      <c r="U51">
        <f t="shared" si="18"/>
        <v>-0.54231629085736144</v>
      </c>
      <c r="V51">
        <f t="shared" si="19"/>
        <v>-3.2125454263407041</v>
      </c>
      <c r="W51">
        <f t="shared" si="20"/>
        <v>6.209943904628644</v>
      </c>
      <c r="X51">
        <f t="shared" si="21"/>
        <v>4.9657773884544287</v>
      </c>
      <c r="Y51">
        <f t="shared" si="22"/>
        <v>2.4336133554004498</v>
      </c>
      <c r="Z51">
        <f t="shared" si="23"/>
        <v>6.6804781963863205</v>
      </c>
      <c r="AA51">
        <f t="shared" si="24"/>
        <v>10.881211990594375</v>
      </c>
      <c r="AB51">
        <f t="shared" si="25"/>
        <v>7.5808170823149705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</row>
    <row r="52" spans="1:34" ht="15.75" customHeight="1">
      <c r="A52" s="1" t="s">
        <v>84</v>
      </c>
      <c r="B52" s="1">
        <v>88.616666666699999</v>
      </c>
      <c r="C52" s="1">
        <v>145.84</v>
      </c>
      <c r="D52" s="1">
        <v>0.33299999999999996</v>
      </c>
      <c r="E52" s="1">
        <v>106.07</v>
      </c>
      <c r="F52" s="1">
        <v>15.08</v>
      </c>
      <c r="G52" s="1">
        <v>0.58009999999999995</v>
      </c>
      <c r="H52" s="1">
        <v>4.3674232851525899E-2</v>
      </c>
      <c r="I52" s="1">
        <v>489.56666666666598</v>
      </c>
      <c r="J52" s="6">
        <v>146.19</v>
      </c>
      <c r="K52" s="4">
        <v>11.5</v>
      </c>
      <c r="L52" s="2">
        <v>747.4</v>
      </c>
      <c r="M52" s="4">
        <v>54116</v>
      </c>
      <c r="N52" s="5">
        <v>1972.2900390625</v>
      </c>
      <c r="P52">
        <f t="shared" si="13"/>
        <v>4.4843199512826137</v>
      </c>
      <c r="Q52">
        <f t="shared" si="14"/>
        <v>4.9825101303704074</v>
      </c>
      <c r="R52">
        <f t="shared" si="15"/>
        <v>-1.0996127890016933</v>
      </c>
      <c r="S52">
        <f t="shared" si="16"/>
        <v>4.6640992535173789</v>
      </c>
      <c r="T52">
        <f t="shared" si="17"/>
        <v>2.7133693625798099</v>
      </c>
      <c r="U52">
        <f t="shared" si="18"/>
        <v>-0.54455477651011852</v>
      </c>
      <c r="V52">
        <f t="shared" si="19"/>
        <v>-3.130996988049862</v>
      </c>
      <c r="W52">
        <f t="shared" si="20"/>
        <v>6.1935206460917058</v>
      </c>
      <c r="X52">
        <f t="shared" si="21"/>
        <v>4.9849071455235245</v>
      </c>
      <c r="Y52">
        <f t="shared" si="22"/>
        <v>2.4423470353692043</v>
      </c>
      <c r="Z52">
        <f t="shared" si="23"/>
        <v>6.6166005170513831</v>
      </c>
      <c r="AA52">
        <f t="shared" si="24"/>
        <v>10.89888516972325</v>
      </c>
      <c r="AB52">
        <f t="shared" si="25"/>
        <v>7.5869506029796785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ht="15.75" customHeight="1">
      <c r="A53" s="1" t="s">
        <v>85</v>
      </c>
      <c r="B53" s="1">
        <v>94.833333333300004</v>
      </c>
      <c r="C53" s="1">
        <v>172.96</v>
      </c>
      <c r="D53" s="1">
        <v>0.28800000000000003</v>
      </c>
      <c r="E53" s="1">
        <v>102.303333333333</v>
      </c>
      <c r="F53" s="1">
        <v>15.52</v>
      </c>
      <c r="G53" s="1">
        <v>0.59293333333333298</v>
      </c>
      <c r="H53" s="1">
        <v>4.8839342769602702E-2</v>
      </c>
      <c r="I53" s="1">
        <v>462.32666666666597</v>
      </c>
      <c r="J53" s="6">
        <v>146.24</v>
      </c>
      <c r="K53" s="4">
        <v>11.4</v>
      </c>
      <c r="L53" s="2">
        <v>717.9</v>
      </c>
      <c r="M53" s="4">
        <v>50007</v>
      </c>
      <c r="N53" s="8">
        <v>2058.89990234375</v>
      </c>
      <c r="P53">
        <f t="shared" si="13"/>
        <v>4.5521209648979246</v>
      </c>
      <c r="Q53">
        <f t="shared" si="14"/>
        <v>5.1530603538908979</v>
      </c>
      <c r="R53">
        <f t="shared" si="15"/>
        <v>-1.2447947988461909</v>
      </c>
      <c r="S53">
        <f t="shared" si="16"/>
        <v>4.627942256330285</v>
      </c>
      <c r="T53">
        <f t="shared" si="17"/>
        <v>2.7421295147550726</v>
      </c>
      <c r="U53">
        <f t="shared" si="18"/>
        <v>-0.52267330901370601</v>
      </c>
      <c r="V53">
        <f t="shared" si="19"/>
        <v>-3.019219086636018</v>
      </c>
      <c r="W53">
        <f t="shared" si="20"/>
        <v>6.1362717119320864</v>
      </c>
      <c r="X53">
        <f t="shared" si="21"/>
        <v>4.9852491077058403</v>
      </c>
      <c r="Y53">
        <f t="shared" si="22"/>
        <v>2.4336133554004498</v>
      </c>
      <c r="Z53">
        <f t="shared" si="23"/>
        <v>6.5763302835824371</v>
      </c>
      <c r="AA53">
        <f t="shared" si="24"/>
        <v>10.819918274611197</v>
      </c>
      <c r="AB53">
        <f t="shared" si="25"/>
        <v>7.6299270911514236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</row>
    <row r="54" spans="1:34" ht="15.75" customHeight="1">
      <c r="A54" s="1" t="s">
        <v>86</v>
      </c>
      <c r="B54" s="1">
        <v>99.68</v>
      </c>
      <c r="C54" s="1">
        <v>244.667</v>
      </c>
      <c r="D54" s="1">
        <v>0.255</v>
      </c>
      <c r="E54" s="1">
        <v>97.493333333333297</v>
      </c>
      <c r="F54" s="1">
        <v>16.53</v>
      </c>
      <c r="G54" s="1">
        <v>0.61699999999999999</v>
      </c>
      <c r="H54" s="1">
        <v>5.2111398517273901E-2</v>
      </c>
      <c r="I54" s="1">
        <v>427.58333333333297</v>
      </c>
      <c r="J54" s="6">
        <v>143.63</v>
      </c>
      <c r="K54" s="4">
        <v>11.4</v>
      </c>
      <c r="L54" s="2">
        <v>630.29999999999995</v>
      </c>
      <c r="M54" s="4">
        <v>51150</v>
      </c>
      <c r="N54" s="5">
        <v>2067.889892578125</v>
      </c>
      <c r="P54">
        <f t="shared" si="13"/>
        <v>4.6019650550391429</v>
      </c>
      <c r="Q54">
        <f t="shared" si="14"/>
        <v>5.4998981023432982</v>
      </c>
      <c r="R54">
        <f t="shared" si="15"/>
        <v>-1.3664917338237108</v>
      </c>
      <c r="S54">
        <f t="shared" si="16"/>
        <v>4.5797839995976748</v>
      </c>
      <c r="T54">
        <f t="shared" si="17"/>
        <v>2.8051769118329331</v>
      </c>
      <c r="U54">
        <f t="shared" si="18"/>
        <v>-0.48288625507674926</v>
      </c>
      <c r="V54">
        <f t="shared" si="19"/>
        <v>-2.9543715726304307</v>
      </c>
      <c r="W54">
        <f t="shared" si="20"/>
        <v>6.0581492011539639</v>
      </c>
      <c r="X54">
        <f t="shared" si="21"/>
        <v>4.9672405484437316</v>
      </c>
      <c r="Y54">
        <f t="shared" si="22"/>
        <v>2.4336133554004498</v>
      </c>
      <c r="Z54">
        <f t="shared" si="23"/>
        <v>6.4461958965190647</v>
      </c>
      <c r="AA54">
        <f t="shared" si="24"/>
        <v>10.842517771379773</v>
      </c>
      <c r="AB54">
        <f t="shared" si="25"/>
        <v>7.6342839907766624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</row>
    <row r="55" spans="1:34" ht="15.75" customHeight="1">
      <c r="A55" s="1" t="s">
        <v>87</v>
      </c>
      <c r="B55" s="1">
        <v>104.313333333</v>
      </c>
      <c r="C55" s="1">
        <v>243.2423</v>
      </c>
      <c r="D55" s="1">
        <v>0.30199999999999999</v>
      </c>
      <c r="E55" s="1">
        <v>93.183333333333294</v>
      </c>
      <c r="F55" s="1">
        <v>15.54</v>
      </c>
      <c r="G55" s="1">
        <v>0.64553333333333296</v>
      </c>
      <c r="H55" s="1">
        <v>6.2678842825009601E-2</v>
      </c>
      <c r="I55" s="1">
        <v>419.33333333333297</v>
      </c>
      <c r="J55" s="6">
        <v>139.44</v>
      </c>
      <c r="K55" s="4">
        <v>11.4</v>
      </c>
      <c r="L55" s="2">
        <v>622.20000000000005</v>
      </c>
      <c r="M55" s="4">
        <v>53081</v>
      </c>
      <c r="N55" s="8">
        <v>2063.110107421875</v>
      </c>
      <c r="P55">
        <f t="shared" si="13"/>
        <v>4.6473991902026057</v>
      </c>
      <c r="Q55">
        <f t="shared" si="14"/>
        <v>5.4940580658888356</v>
      </c>
      <c r="R55">
        <f t="shared" si="15"/>
        <v>-1.1973282616072674</v>
      </c>
      <c r="S55">
        <f t="shared" si="16"/>
        <v>4.534568878804544</v>
      </c>
      <c r="T55">
        <f t="shared" si="17"/>
        <v>2.7434173449395014</v>
      </c>
      <c r="U55">
        <f t="shared" si="18"/>
        <v>-0.43767843047281657</v>
      </c>
      <c r="V55">
        <f t="shared" si="19"/>
        <v>-2.769731323295086</v>
      </c>
      <c r="W55">
        <f t="shared" si="20"/>
        <v>6.0386661485922755</v>
      </c>
      <c r="X55">
        <f t="shared" si="21"/>
        <v>4.9376344012117652</v>
      </c>
      <c r="Y55">
        <f t="shared" si="22"/>
        <v>2.4336133554004498</v>
      </c>
      <c r="Z55">
        <f t="shared" si="23"/>
        <v>6.433261584463537</v>
      </c>
      <c r="AA55">
        <f t="shared" si="24"/>
        <v>10.879574327756249</v>
      </c>
      <c r="AB55">
        <f t="shared" si="25"/>
        <v>7.6319698841248762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</row>
    <row r="56" spans="1:34" ht="15.75" customHeight="1">
      <c r="A56" s="1" t="s">
        <v>88</v>
      </c>
      <c r="B56" s="1">
        <v>118.48</v>
      </c>
      <c r="C56" s="1">
        <v>353.14569999999998</v>
      </c>
      <c r="D56" s="1">
        <v>0.20399999999999999</v>
      </c>
      <c r="E56" s="1">
        <v>92.553333333333299</v>
      </c>
      <c r="F56" s="1">
        <v>21.37</v>
      </c>
      <c r="G56" s="1">
        <v>0.67636666666666601</v>
      </c>
      <c r="H56" s="1">
        <v>7.3132541648331606E-2</v>
      </c>
      <c r="I56" s="1">
        <v>416</v>
      </c>
      <c r="J56" s="6">
        <v>137.59</v>
      </c>
      <c r="K56" s="4">
        <v>11.4</v>
      </c>
      <c r="L56" s="2">
        <v>647.6</v>
      </c>
      <c r="M56" s="4">
        <v>45059</v>
      </c>
      <c r="N56" s="9">
        <v>1920.030029296875</v>
      </c>
      <c r="P56">
        <f t="shared" si="13"/>
        <v>4.7747441699595434</v>
      </c>
      <c r="Q56">
        <f t="shared" si="14"/>
        <v>5.8668807196516779</v>
      </c>
      <c r="R56">
        <f t="shared" si="15"/>
        <v>-1.5896352851379207</v>
      </c>
      <c r="S56">
        <f t="shared" si="16"/>
        <v>4.5277850549385459</v>
      </c>
      <c r="T56">
        <f t="shared" si="17"/>
        <v>3.0619880693310564</v>
      </c>
      <c r="U56">
        <f t="shared" si="18"/>
        <v>-0.39101994367666915</v>
      </c>
      <c r="V56">
        <f t="shared" si="19"/>
        <v>-2.6154818450956281</v>
      </c>
      <c r="W56">
        <f t="shared" si="20"/>
        <v>6.0306852602612633</v>
      </c>
      <c r="X56">
        <f t="shared" si="21"/>
        <v>4.9242782484397249</v>
      </c>
      <c r="Y56">
        <f t="shared" si="22"/>
        <v>2.4336133554004498</v>
      </c>
      <c r="Z56">
        <f t="shared" si="23"/>
        <v>6.4732732218034803</v>
      </c>
      <c r="AA56">
        <f t="shared" si="24"/>
        <v>10.71572802110793</v>
      </c>
      <c r="AB56">
        <f t="shared" si="25"/>
        <v>7.5600961051583084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</row>
    <row r="57" spans="1:34" ht="15.75" customHeight="1">
      <c r="A57" s="1" t="s">
        <v>89</v>
      </c>
      <c r="B57" s="1">
        <v>123.84666666699999</v>
      </c>
      <c r="C57" s="1">
        <v>443</v>
      </c>
      <c r="D57" s="1">
        <v>0.20899999999999999</v>
      </c>
      <c r="E57" s="1">
        <v>90.813333333333304</v>
      </c>
      <c r="F57" s="1">
        <v>16.47</v>
      </c>
      <c r="G57" s="1">
        <v>0.69633333333333303</v>
      </c>
      <c r="H57" s="1">
        <v>6.8528291615800804E-2</v>
      </c>
      <c r="I57" s="1">
        <v>396.33333333333297</v>
      </c>
      <c r="J57" s="6">
        <v>136.36000000000001</v>
      </c>
      <c r="K57" s="4">
        <v>11.1</v>
      </c>
      <c r="L57" s="2">
        <v>672.8</v>
      </c>
      <c r="M57" s="4">
        <v>43350</v>
      </c>
      <c r="N57" s="5">
        <v>2043.93994140625</v>
      </c>
      <c r="P57">
        <f t="shared" si="13"/>
        <v>4.8190442412978403</v>
      </c>
      <c r="Q57">
        <f t="shared" si="14"/>
        <v>6.0935697700451357</v>
      </c>
      <c r="R57">
        <f t="shared" si="15"/>
        <v>-1.5654210270173261</v>
      </c>
      <c r="S57">
        <f t="shared" si="16"/>
        <v>4.5088061177050074</v>
      </c>
      <c r="T57">
        <f t="shared" si="17"/>
        <v>2.8015405441895487</v>
      </c>
      <c r="U57">
        <f t="shared" si="18"/>
        <v>-0.36192680609368139</v>
      </c>
      <c r="V57">
        <f t="shared" si="19"/>
        <v>-2.6805086026926448</v>
      </c>
      <c r="W57">
        <f t="shared" si="20"/>
        <v>5.9822556080226716</v>
      </c>
      <c r="X57">
        <f t="shared" si="21"/>
        <v>4.9152984472697021</v>
      </c>
      <c r="Y57">
        <f t="shared" si="22"/>
        <v>2.4069451083182885</v>
      </c>
      <c r="Z57">
        <f t="shared" si="23"/>
        <v>6.5114481086587386</v>
      </c>
      <c r="AA57">
        <f t="shared" si="24"/>
        <v>10.677061982208688</v>
      </c>
      <c r="AB57">
        <f t="shared" si="25"/>
        <v>7.6226345680182552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ht="15.75" customHeight="1">
      <c r="A58" s="1" t="s">
        <v>90</v>
      </c>
      <c r="B58" s="1">
        <v>118.436666667</v>
      </c>
      <c r="C58" s="1">
        <v>453.33330000000001</v>
      </c>
      <c r="D58" s="1">
        <v>0.26</v>
      </c>
      <c r="E58" s="1">
        <v>88.136666666666599</v>
      </c>
      <c r="F58" s="1">
        <v>18</v>
      </c>
      <c r="G58" s="1">
        <v>0.71540000000000004</v>
      </c>
      <c r="H58" s="1">
        <v>5.47184171149993E-2</v>
      </c>
      <c r="I58" s="1">
        <v>380.33333333333297</v>
      </c>
      <c r="J58" s="6">
        <v>134.52000000000001</v>
      </c>
      <c r="K58" s="4">
        <v>11</v>
      </c>
      <c r="L58" s="2">
        <v>709.8</v>
      </c>
      <c r="M58" s="4">
        <v>50055</v>
      </c>
      <c r="N58" s="5">
        <v>2059.739990234375</v>
      </c>
      <c r="P58">
        <f t="shared" si="13"/>
        <v>4.7743783591950004</v>
      </c>
      <c r="Q58">
        <f t="shared" si="14"/>
        <v>6.1166276165325737</v>
      </c>
      <c r="R58">
        <f t="shared" si="15"/>
        <v>-1.3470736479666092</v>
      </c>
      <c r="S58">
        <f t="shared" si="16"/>
        <v>4.4788886400768089</v>
      </c>
      <c r="T58">
        <f t="shared" si="17"/>
        <v>2.8903717578961645</v>
      </c>
      <c r="U58">
        <f t="shared" si="18"/>
        <v>-0.33491345215721963</v>
      </c>
      <c r="V58">
        <f t="shared" si="19"/>
        <v>-2.9055549330782076</v>
      </c>
      <c r="W58">
        <f t="shared" si="20"/>
        <v>5.9410480611939649</v>
      </c>
      <c r="X58">
        <f t="shared" si="21"/>
        <v>4.901712886872069</v>
      </c>
      <c r="Y58">
        <f t="shared" si="22"/>
        <v>2.3978952727983707</v>
      </c>
      <c r="Z58">
        <f t="shared" si="23"/>
        <v>6.5649832402123964</v>
      </c>
      <c r="AA58">
        <f t="shared" si="24"/>
        <v>10.820877679853584</v>
      </c>
      <c r="AB58">
        <f t="shared" si="25"/>
        <v>7.6303350354845954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ht="15.75" customHeight="1">
      <c r="A59" s="1" t="s">
        <v>91</v>
      </c>
      <c r="B59" s="1">
        <v>107.85</v>
      </c>
      <c r="C59" s="1">
        <v>346</v>
      </c>
      <c r="D59" s="1">
        <v>0.312</v>
      </c>
      <c r="E59" s="1">
        <v>94.543333333333294</v>
      </c>
      <c r="F59" s="1">
        <v>15.04</v>
      </c>
      <c r="G59" s="1">
        <v>0.72163333333333302</v>
      </c>
      <c r="H59" s="1">
        <v>5.9216117329116899E-2</v>
      </c>
      <c r="I59" s="1">
        <v>406.33333333333297</v>
      </c>
      <c r="J59" s="6">
        <v>134.62</v>
      </c>
      <c r="K59" s="4">
        <v>10.9</v>
      </c>
      <c r="L59" s="2">
        <v>756.5</v>
      </c>
      <c r="M59" s="4">
        <v>51527</v>
      </c>
      <c r="N59" s="5">
        <v>2098.860107421875</v>
      </c>
      <c r="P59">
        <f t="shared" si="13"/>
        <v>4.6807413728351657</v>
      </c>
      <c r="Q59">
        <f t="shared" si="14"/>
        <v>5.8464387750577247</v>
      </c>
      <c r="R59">
        <f t="shared" si="15"/>
        <v>-1.1647520911726548</v>
      </c>
      <c r="S59">
        <f t="shared" si="16"/>
        <v>4.5490582831879234</v>
      </c>
      <c r="T59">
        <f t="shared" si="17"/>
        <v>2.7107133185216936</v>
      </c>
      <c r="U59">
        <f t="shared" si="18"/>
        <v>-0.3262381176568625</v>
      </c>
      <c r="V59">
        <f t="shared" si="19"/>
        <v>-2.8265615219650484</v>
      </c>
      <c r="W59">
        <f t="shared" si="20"/>
        <v>6.0071738408131612</v>
      </c>
      <c r="X59">
        <f t="shared" si="21"/>
        <v>4.9024559945825672</v>
      </c>
      <c r="Y59">
        <f t="shared" si="22"/>
        <v>2.388762789235098</v>
      </c>
      <c r="Z59">
        <f t="shared" si="23"/>
        <v>6.6287025332284104</v>
      </c>
      <c r="AA59">
        <f t="shared" si="24"/>
        <v>10.849861221114018</v>
      </c>
      <c r="AB59">
        <f t="shared" si="25"/>
        <v>7.6491496703494279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ht="15.75" customHeight="1">
      <c r="A60" s="1" t="s">
        <v>92</v>
      </c>
      <c r="B60" s="1">
        <v>98.946666666699997</v>
      </c>
      <c r="C60" s="1">
        <v>277.33330000000001</v>
      </c>
      <c r="D60" s="1">
        <v>0.33</v>
      </c>
      <c r="E60" s="1">
        <v>98.796666666666596</v>
      </c>
      <c r="F60" s="1">
        <v>13.39</v>
      </c>
      <c r="G60" s="1">
        <v>0.73146666666666604</v>
      </c>
      <c r="H60" s="1">
        <v>6.7290891593465699E-2</v>
      </c>
      <c r="I60" s="1">
        <v>414.82666666666597</v>
      </c>
      <c r="J60" s="6">
        <v>133.63999999999999</v>
      </c>
      <c r="K60" s="4">
        <v>10.8</v>
      </c>
      <c r="L60" s="2">
        <v>764</v>
      </c>
      <c r="M60" s="4">
        <v>58367</v>
      </c>
      <c r="N60" s="5">
        <v>2168.27001953125</v>
      </c>
      <c r="P60">
        <f t="shared" si="13"/>
        <v>4.5945809844341596</v>
      </c>
      <c r="Q60">
        <f t="shared" si="14"/>
        <v>5.6252200319607839</v>
      </c>
      <c r="R60">
        <f t="shared" si="15"/>
        <v>-1.1086626245216111</v>
      </c>
      <c r="S60">
        <f t="shared" si="16"/>
        <v>4.5930638659930425</v>
      </c>
      <c r="T60">
        <f t="shared" si="17"/>
        <v>2.5945081597030812</v>
      </c>
      <c r="U60">
        <f t="shared" si="18"/>
        <v>-0.31270362802685414</v>
      </c>
      <c r="V60">
        <f t="shared" si="19"/>
        <v>-2.6987303918553396</v>
      </c>
      <c r="W60">
        <f t="shared" si="20"/>
        <v>6.0278607622992713</v>
      </c>
      <c r="X60">
        <f t="shared" si="21"/>
        <v>4.8951496174885554</v>
      </c>
      <c r="Y60">
        <f t="shared" si="22"/>
        <v>2.379546134130174</v>
      </c>
      <c r="Z60">
        <f t="shared" si="23"/>
        <v>6.6385677891665207</v>
      </c>
      <c r="AA60">
        <f t="shared" si="24"/>
        <v>10.974505940611799</v>
      </c>
      <c r="AB60">
        <f t="shared" si="25"/>
        <v>7.6816849025583762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ht="15.75" customHeight="1">
      <c r="A61" s="1" t="s">
        <v>93</v>
      </c>
      <c r="B61" s="1">
        <v>97.4633333333</v>
      </c>
      <c r="C61" s="1">
        <v>280.33330000000001</v>
      </c>
      <c r="D61" s="1">
        <v>0.32400000000000001</v>
      </c>
      <c r="E61" s="1">
        <v>101.67666666666599</v>
      </c>
      <c r="F61" s="1">
        <v>14.67</v>
      </c>
      <c r="G61" s="1">
        <v>0.75356666666666605</v>
      </c>
      <c r="H61" s="1">
        <v>6.3937104337864495E-2</v>
      </c>
      <c r="I61" s="1">
        <v>430.42</v>
      </c>
      <c r="J61" s="6">
        <v>132.54</v>
      </c>
      <c r="K61" s="4">
        <v>10.6</v>
      </c>
      <c r="L61" s="2">
        <v>765.2</v>
      </c>
      <c r="M61" s="4">
        <v>60227</v>
      </c>
      <c r="N61" s="5">
        <v>2238.830078125</v>
      </c>
      <c r="P61">
        <f t="shared" si="13"/>
        <v>4.5794762388959454</v>
      </c>
      <c r="Q61">
        <f t="shared" si="14"/>
        <v>5.6359792523987675</v>
      </c>
      <c r="R61">
        <f t="shared" si="15"/>
        <v>-1.1270117631898076</v>
      </c>
      <c r="S61">
        <f t="shared" si="16"/>
        <v>4.6217978437579408</v>
      </c>
      <c r="T61">
        <f t="shared" si="17"/>
        <v>2.6858045921548905</v>
      </c>
      <c r="U61">
        <f t="shared" si="18"/>
        <v>-0.28293778882847348</v>
      </c>
      <c r="V61">
        <f t="shared" si="19"/>
        <v>-2.7498554235535333</v>
      </c>
      <c r="W61">
        <f t="shared" si="20"/>
        <v>6.0647614761694388</v>
      </c>
      <c r="X61">
        <f t="shared" si="21"/>
        <v>4.8868844866600805</v>
      </c>
      <c r="Y61">
        <f t="shared" si="22"/>
        <v>2.3608540011180215</v>
      </c>
      <c r="Z61">
        <f t="shared" si="23"/>
        <v>6.6401372375660976</v>
      </c>
      <c r="AA61">
        <f t="shared" si="24"/>
        <v>11.005876035732005</v>
      </c>
      <c r="AB61">
        <f t="shared" si="25"/>
        <v>7.713708721858616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ht="15.75" customHeight="1">
      <c r="A62" s="1" t="s">
        <v>94</v>
      </c>
      <c r="B62" s="1">
        <v>92.19</v>
      </c>
      <c r="C62" s="1">
        <v>233</v>
      </c>
      <c r="D62" s="1">
        <v>0.34299999999999997</v>
      </c>
      <c r="E62" s="1">
        <v>105.79</v>
      </c>
      <c r="F62" s="1">
        <v>12.43</v>
      </c>
      <c r="G62" s="1">
        <v>0.78053333333333297</v>
      </c>
      <c r="H62" s="1">
        <v>4.9394117718912597E-2</v>
      </c>
      <c r="I62" s="1">
        <v>458.83666666666602</v>
      </c>
      <c r="J62" s="6">
        <v>135.25</v>
      </c>
      <c r="K62" s="4">
        <v>10.7</v>
      </c>
      <c r="L62" s="2">
        <v>826.1</v>
      </c>
      <c r="M62" s="4">
        <v>64984</v>
      </c>
      <c r="N62" s="5">
        <v>2362.719970703125</v>
      </c>
      <c r="P62">
        <f t="shared" si="13"/>
        <v>4.5238516648105032</v>
      </c>
      <c r="Q62">
        <f t="shared" si="14"/>
        <v>5.4510384535657002</v>
      </c>
      <c r="R62">
        <f t="shared" si="15"/>
        <v>-1.0700248318161971</v>
      </c>
      <c r="S62">
        <f t="shared" si="16"/>
        <v>4.6614559969986828</v>
      </c>
      <c r="T62">
        <f t="shared" si="17"/>
        <v>2.5201129055226197</v>
      </c>
      <c r="U62">
        <f t="shared" si="18"/>
        <v>-0.24777783227257111</v>
      </c>
      <c r="V62">
        <f t="shared" si="19"/>
        <v>-3.0079239363941324</v>
      </c>
      <c r="W62">
        <f t="shared" si="20"/>
        <v>6.1286943006901966</v>
      </c>
      <c r="X62">
        <f t="shared" si="21"/>
        <v>4.9071249177265912</v>
      </c>
      <c r="Y62">
        <f t="shared" si="22"/>
        <v>2.3702437414678603</v>
      </c>
      <c r="Z62">
        <f t="shared" si="23"/>
        <v>6.7167158315684592</v>
      </c>
      <c r="AA62">
        <f t="shared" si="24"/>
        <v>11.08189636473079</v>
      </c>
      <c r="AB62">
        <f t="shared" si="25"/>
        <v>7.7675687643258247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ht="15.75" customHeight="1">
      <c r="A63" s="1" t="s">
        <v>95</v>
      </c>
      <c r="B63" s="1">
        <v>96.016666666700004</v>
      </c>
      <c r="C63" s="1">
        <v>231.33330000000001</v>
      </c>
      <c r="D63" s="1">
        <v>0.308</v>
      </c>
      <c r="E63" s="1">
        <v>99.996666666666599</v>
      </c>
      <c r="F63" s="1">
        <v>10.89</v>
      </c>
      <c r="G63" s="1">
        <v>0.79769999999999996</v>
      </c>
      <c r="H63" s="1">
        <v>4.0408309637317702E-2</v>
      </c>
      <c r="I63" s="1">
        <v>466.06</v>
      </c>
      <c r="J63" s="6">
        <v>135.86000000000001</v>
      </c>
      <c r="K63" s="4">
        <v>10.7</v>
      </c>
      <c r="L63" s="2">
        <v>934.7</v>
      </c>
      <c r="M63" s="4">
        <v>62900</v>
      </c>
      <c r="N63" s="5">
        <v>2423.409912109375</v>
      </c>
      <c r="P63">
        <f t="shared" si="13"/>
        <v>4.5645217875106292</v>
      </c>
      <c r="Q63">
        <f t="shared" si="14"/>
        <v>5.4438595277464659</v>
      </c>
      <c r="R63">
        <f t="shared" si="15"/>
        <v>-1.1776554960085626</v>
      </c>
      <c r="S63">
        <f t="shared" si="16"/>
        <v>4.6051368520991893</v>
      </c>
      <c r="T63">
        <f t="shared" si="17"/>
        <v>2.3878449369448691</v>
      </c>
      <c r="U63">
        <f t="shared" si="18"/>
        <v>-0.22602269206505327</v>
      </c>
      <c r="V63">
        <f t="shared" si="19"/>
        <v>-3.2087198310730831</v>
      </c>
      <c r="W63">
        <f t="shared" si="20"/>
        <v>6.1443143812021921</v>
      </c>
      <c r="X63">
        <f t="shared" si="21"/>
        <v>4.9116249437631563</v>
      </c>
      <c r="Y63">
        <f t="shared" si="22"/>
        <v>2.3702437414678603</v>
      </c>
      <c r="Z63">
        <f t="shared" si="23"/>
        <v>6.8402256221885374</v>
      </c>
      <c r="AA63">
        <f t="shared" si="24"/>
        <v>11.049301442688533</v>
      </c>
      <c r="AB63">
        <f t="shared" si="25"/>
        <v>7.7929308819555079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ht="15.75" customHeight="1">
      <c r="A64" s="1" t="s">
        <v>96</v>
      </c>
      <c r="B64" s="1">
        <v>97.433333333299998</v>
      </c>
      <c r="C64" s="1">
        <v>200</v>
      </c>
      <c r="D64" s="1">
        <v>0.34700000000000003</v>
      </c>
      <c r="E64" s="1">
        <v>98.81</v>
      </c>
      <c r="F64" s="1">
        <v>10.5</v>
      </c>
      <c r="G64" s="1">
        <v>0.80530000000000002</v>
      </c>
      <c r="H64" s="1">
        <v>3.25823060078545E-2</v>
      </c>
      <c r="I64" s="1">
        <v>446.54333333333301</v>
      </c>
      <c r="J64" s="6">
        <v>135.54</v>
      </c>
      <c r="K64" s="4">
        <v>10.8</v>
      </c>
      <c r="L64" s="2">
        <v>997.3</v>
      </c>
      <c r="M64" s="4">
        <v>74294</v>
      </c>
      <c r="N64" s="7">
        <v>2519.360107421875</v>
      </c>
      <c r="P64">
        <f t="shared" si="13"/>
        <v>4.5791683834487484</v>
      </c>
      <c r="Q64">
        <f t="shared" si="14"/>
        <v>5.2983173665480363</v>
      </c>
      <c r="R64">
        <f t="shared" si="15"/>
        <v>-1.0584304990352777</v>
      </c>
      <c r="S64">
        <f t="shared" si="16"/>
        <v>4.5931988142068718</v>
      </c>
      <c r="T64">
        <f t="shared" si="17"/>
        <v>2.3513752571634776</v>
      </c>
      <c r="U64">
        <f t="shared" si="18"/>
        <v>-0.2165404001806378</v>
      </c>
      <c r="V64">
        <f t="shared" si="19"/>
        <v>-3.4239858984525324</v>
      </c>
      <c r="W64">
        <f t="shared" si="20"/>
        <v>6.1015364467458806</v>
      </c>
      <c r="X64">
        <f t="shared" si="21"/>
        <v>4.9092667997079671</v>
      </c>
      <c r="Y64">
        <f t="shared" si="22"/>
        <v>2.379546134130174</v>
      </c>
      <c r="Z64">
        <f t="shared" si="23"/>
        <v>6.905051627407822</v>
      </c>
      <c r="AA64">
        <f t="shared" si="24"/>
        <v>11.215785473743884</v>
      </c>
      <c r="AB64">
        <f t="shared" si="25"/>
        <v>7.8317602226346583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ht="15.75" customHeight="1">
      <c r="A65" s="1" t="s">
        <v>97</v>
      </c>
      <c r="B65" s="1">
        <v>99.67</v>
      </c>
      <c r="C65" s="1">
        <v>163.66669999999999</v>
      </c>
      <c r="D65" s="1">
        <v>0.32100000000000001</v>
      </c>
      <c r="E65" s="1">
        <v>100.56333333333301</v>
      </c>
      <c r="F65" s="1">
        <v>9.8000000000000007</v>
      </c>
      <c r="G65" s="1">
        <v>0.81913333333333305</v>
      </c>
      <c r="H65" s="1">
        <v>3.3037423700293903E-2</v>
      </c>
      <c r="I65" s="1">
        <v>429.33333333333297</v>
      </c>
      <c r="J65" s="6">
        <v>137.97</v>
      </c>
      <c r="K65" s="4">
        <v>10.9</v>
      </c>
      <c r="L65" s="3">
        <v>1034</v>
      </c>
      <c r="M65" s="4">
        <v>76402</v>
      </c>
      <c r="N65" s="5">
        <v>2673.610107421875</v>
      </c>
      <c r="P65">
        <f t="shared" si="13"/>
        <v>4.6018647289793648</v>
      </c>
      <c r="Q65">
        <f t="shared" si="14"/>
        <v>5.097832042792378</v>
      </c>
      <c r="R65">
        <f t="shared" si="15"/>
        <v>-1.1363141558521213</v>
      </c>
      <c r="S65">
        <f t="shared" si="16"/>
        <v>4.6107877114387943</v>
      </c>
      <c r="T65">
        <f t="shared" si="17"/>
        <v>2.2823823856765264</v>
      </c>
      <c r="U65">
        <f t="shared" si="18"/>
        <v>-0.19950840821677621</v>
      </c>
      <c r="V65">
        <f t="shared" si="19"/>
        <v>-3.4101143085422843</v>
      </c>
      <c r="W65">
        <f t="shared" si="20"/>
        <v>6.0622336179961884</v>
      </c>
      <c r="X65">
        <f t="shared" si="21"/>
        <v>4.9270362702199417</v>
      </c>
      <c r="Y65">
        <f t="shared" si="22"/>
        <v>2.388762789235098</v>
      </c>
      <c r="Z65">
        <f t="shared" si="23"/>
        <v>6.9411900550683745</v>
      </c>
      <c r="AA65">
        <f t="shared" si="24"/>
        <v>11.243764152822445</v>
      </c>
      <c r="AB65">
        <f t="shared" si="25"/>
        <v>7.8911849382880064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ht="15.75" customHeight="1">
      <c r="A66" s="1" t="s">
        <v>98</v>
      </c>
      <c r="B66" s="1">
        <v>101.34666666699999</v>
      </c>
      <c r="C66" s="1">
        <v>152.33330000000001</v>
      </c>
      <c r="D66" s="1">
        <v>0.37</v>
      </c>
      <c r="E66" s="1">
        <v>101.28</v>
      </c>
      <c r="F66" s="1">
        <v>20</v>
      </c>
      <c r="G66" s="1">
        <v>0.82636666666666603</v>
      </c>
      <c r="H66" s="1">
        <v>2.5926297769652499E-2</v>
      </c>
      <c r="I66" s="1">
        <v>438.666666666666</v>
      </c>
      <c r="J66" s="6">
        <v>136.55000000000001</v>
      </c>
      <c r="K66" s="4">
        <v>11</v>
      </c>
      <c r="L66" s="3">
        <v>1140.9000000000001</v>
      </c>
      <c r="M66" s="4">
        <v>85366</v>
      </c>
      <c r="N66" s="5">
        <v>2640.8701171875</v>
      </c>
      <c r="P66">
        <f t="shared" ref="P66:P74" si="26">LN(B66)</f>
        <v>4.6185469830330188</v>
      </c>
      <c r="Q66">
        <f t="shared" ref="Q66:Q74" si="27">LN(C66)</f>
        <v>5.0260708834076908</v>
      </c>
      <c r="R66">
        <f t="shared" ref="R66:R74" si="28">LN(D66)</f>
        <v>-0.9942522733438669</v>
      </c>
      <c r="S66">
        <f t="shared" ref="S66:S74" si="29">LN(E66)</f>
        <v>4.6178889583958664</v>
      </c>
      <c r="T66">
        <f t="shared" ref="T66:T74" si="30">LN(F66)</f>
        <v>2.9957322735539909</v>
      </c>
      <c r="U66">
        <f t="shared" ref="U66:U74" si="31">LN(G66)</f>
        <v>-0.19071669758233739</v>
      </c>
      <c r="V66">
        <f t="shared" ref="V66:V74" si="32">LN(H66)</f>
        <v>-3.6524974675021755</v>
      </c>
      <c r="W66">
        <f t="shared" ref="W66:W74" si="33">LN(I66)</f>
        <v>6.0837398232171509</v>
      </c>
      <c r="X66">
        <f t="shared" ref="X66:X74" si="34">LN(J66)</f>
        <v>4.916690847919714</v>
      </c>
      <c r="Y66">
        <f t="shared" ref="Y66:Y74" si="35">LN(K66)</f>
        <v>2.3978952727983707</v>
      </c>
      <c r="Z66">
        <f t="shared" ref="Z66:Z74" si="36">LN(L66)</f>
        <v>7.0395727036023237</v>
      </c>
      <c r="AA66">
        <f t="shared" ref="AA66:AA74" si="37">LN(M66)</f>
        <v>11.35470317403958</v>
      </c>
      <c r="AB66">
        <f t="shared" ref="AB66:AB74" si="38">LN(N66)</f>
        <v>7.878863731681311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ht="15.75" customHeight="1">
      <c r="A67" s="1" t="s">
        <v>99</v>
      </c>
      <c r="B67" s="1">
        <v>109.156666667</v>
      </c>
      <c r="C67" s="1">
        <v>222.33330000000001</v>
      </c>
      <c r="D67" s="1">
        <v>0.26200000000000001</v>
      </c>
      <c r="E67" s="1">
        <v>99.466666666666598</v>
      </c>
      <c r="F67" s="1">
        <v>12</v>
      </c>
      <c r="G67" s="1">
        <v>0.84713333333333296</v>
      </c>
      <c r="H67" s="1">
        <v>2.9951573312623599E-2</v>
      </c>
      <c r="I67" s="1">
        <v>442.33333333333297</v>
      </c>
      <c r="J67" s="6">
        <v>137.31</v>
      </c>
      <c r="K67" s="4">
        <v>10.9</v>
      </c>
      <c r="L67" s="3">
        <v>1524.6</v>
      </c>
      <c r="M67" s="4">
        <v>72763</v>
      </c>
      <c r="N67" s="5">
        <v>2718.3701171875</v>
      </c>
      <c r="P67">
        <f t="shared" si="26"/>
        <v>4.6927841591609996</v>
      </c>
      <c r="Q67">
        <f t="shared" si="27"/>
        <v>5.404177607322465</v>
      </c>
      <c r="R67">
        <f t="shared" si="28"/>
        <v>-1.3394107752210402</v>
      </c>
      <c r="S67">
        <f t="shared" si="29"/>
        <v>4.5998225796614953</v>
      </c>
      <c r="T67">
        <f t="shared" si="30"/>
        <v>2.4849066497880004</v>
      </c>
      <c r="U67">
        <f t="shared" si="31"/>
        <v>-0.16589717837981319</v>
      </c>
      <c r="V67">
        <f t="shared" si="32"/>
        <v>-3.5081734244941023</v>
      </c>
      <c r="W67">
        <f t="shared" si="33"/>
        <v>6.0920637456640971</v>
      </c>
      <c r="X67">
        <f t="shared" si="34"/>
        <v>4.9222411433336601</v>
      </c>
      <c r="Y67">
        <f t="shared" si="35"/>
        <v>2.388762789235098</v>
      </c>
      <c r="Z67">
        <f t="shared" si="36"/>
        <v>7.3294873595541734</v>
      </c>
      <c r="AA67">
        <f t="shared" si="37"/>
        <v>11.194962863227914</v>
      </c>
      <c r="AB67">
        <f t="shared" si="38"/>
        <v>7.9077877580627716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ht="15.75" customHeight="1">
      <c r="A68" s="1" t="s">
        <v>100</v>
      </c>
      <c r="B68" s="1">
        <v>113.98666666699999</v>
      </c>
      <c r="C68" s="1">
        <v>253.66669999999999</v>
      </c>
      <c r="D68" s="1">
        <v>0.27100000000000002</v>
      </c>
      <c r="E68" s="1">
        <v>99.933333333333294</v>
      </c>
      <c r="F68" s="1">
        <v>21</v>
      </c>
      <c r="G68" s="1">
        <v>0.84396666666666598</v>
      </c>
      <c r="H68" s="1">
        <v>3.4155783955875298E-2</v>
      </c>
      <c r="I68" s="1">
        <v>426</v>
      </c>
      <c r="J68" s="6">
        <v>138.11000000000001</v>
      </c>
      <c r="K68" s="4">
        <v>10.9</v>
      </c>
      <c r="L68" s="3">
        <v>1835.5</v>
      </c>
      <c r="M68" s="4">
        <v>79342</v>
      </c>
      <c r="N68" s="5">
        <v>2913.97998046875</v>
      </c>
      <c r="P68">
        <f t="shared" si="26"/>
        <v>4.7360814824928479</v>
      </c>
      <c r="Q68">
        <f t="shared" si="27"/>
        <v>5.5360212005996123</v>
      </c>
      <c r="R68">
        <f t="shared" si="28"/>
        <v>-1.305636458102436</v>
      </c>
      <c r="S68">
        <f t="shared" si="29"/>
        <v>4.6045032970003872</v>
      </c>
      <c r="T68">
        <f t="shared" si="30"/>
        <v>3.044522437723423</v>
      </c>
      <c r="U68">
        <f t="shared" si="31"/>
        <v>-0.169642279636882</v>
      </c>
      <c r="V68">
        <f t="shared" si="32"/>
        <v>-3.3768233381741579</v>
      </c>
      <c r="W68">
        <f t="shared" si="33"/>
        <v>6.0544393462693709</v>
      </c>
      <c r="X68">
        <f t="shared" si="34"/>
        <v>4.928050469089837</v>
      </c>
      <c r="Y68">
        <f t="shared" si="35"/>
        <v>2.388762789235098</v>
      </c>
      <c r="Z68">
        <f t="shared" si="36"/>
        <v>7.5150722029368886</v>
      </c>
      <c r="AA68">
        <f t="shared" si="37"/>
        <v>11.281522901716324</v>
      </c>
      <c r="AB68">
        <f t="shared" si="38"/>
        <v>7.9772751166110121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ht="15.75" customHeight="1">
      <c r="A69" s="1" t="s">
        <v>101</v>
      </c>
      <c r="B69" s="1">
        <v>107.51</v>
      </c>
      <c r="C69" s="1">
        <v>191.66669999999999</v>
      </c>
      <c r="D69" s="1">
        <v>0.33100000000000002</v>
      </c>
      <c r="E69" s="1">
        <v>99.393333333333302</v>
      </c>
      <c r="F69" s="1">
        <v>16</v>
      </c>
      <c r="G69" s="1">
        <v>0.84043333333333303</v>
      </c>
      <c r="H69" s="1">
        <v>2.5861252706871798E-2</v>
      </c>
      <c r="I69" s="1">
        <v>414.666666666666</v>
      </c>
      <c r="J69" s="6">
        <v>139.05000000000001</v>
      </c>
      <c r="K69" s="4">
        <v>10.9</v>
      </c>
      <c r="L69" s="3">
        <v>1937.8</v>
      </c>
      <c r="M69" s="4">
        <v>87887</v>
      </c>
      <c r="N69" s="5">
        <v>2506.85009765625</v>
      </c>
      <c r="P69">
        <f t="shared" si="26"/>
        <v>4.6775838664971365</v>
      </c>
      <c r="Q69">
        <f t="shared" si="27"/>
        <v>5.2557579260422687</v>
      </c>
      <c r="R69">
        <f t="shared" si="28"/>
        <v>-1.1056369036050742</v>
      </c>
      <c r="S69">
        <f t="shared" si="29"/>
        <v>4.5990850423321428</v>
      </c>
      <c r="T69">
        <f t="shared" si="30"/>
        <v>2.7725887222397811</v>
      </c>
      <c r="U69">
        <f t="shared" si="31"/>
        <v>-0.17383764714564481</v>
      </c>
      <c r="V69">
        <f t="shared" si="32"/>
        <v>-3.6550094649373026</v>
      </c>
      <c r="W69">
        <f t="shared" si="33"/>
        <v>6.0274749846310138</v>
      </c>
      <c r="X69">
        <f t="shared" si="34"/>
        <v>4.9348335806799737</v>
      </c>
      <c r="Y69">
        <f t="shared" si="35"/>
        <v>2.388762789235098</v>
      </c>
      <c r="Z69">
        <f t="shared" si="36"/>
        <v>7.5693085879509034</v>
      </c>
      <c r="AA69">
        <f t="shared" si="37"/>
        <v>11.383807177400065</v>
      </c>
      <c r="AB69">
        <f t="shared" si="38"/>
        <v>7.8267823028549337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0</v>
      </c>
    </row>
    <row r="70" spans="1:34" ht="15.75" customHeight="1">
      <c r="A70" s="1" t="s">
        <v>102</v>
      </c>
      <c r="B70" s="1">
        <v>106.526666667</v>
      </c>
      <c r="C70" s="1">
        <v>165.66669999999999</v>
      </c>
      <c r="D70" s="1">
        <v>0.33899999999999997</v>
      </c>
      <c r="E70" s="1">
        <v>98.663333333333298</v>
      </c>
      <c r="F70" s="1">
        <v>13</v>
      </c>
      <c r="G70" s="1">
        <v>0.84183333333333299</v>
      </c>
      <c r="H70" s="1">
        <v>2.6202409000424601E-2</v>
      </c>
      <c r="I70" s="1">
        <v>414</v>
      </c>
      <c r="J70" s="6">
        <v>137.04</v>
      </c>
      <c r="K70" s="4">
        <v>10.7</v>
      </c>
      <c r="L70" s="3">
        <v>1883.8</v>
      </c>
      <c r="M70" s="4">
        <v>95415</v>
      </c>
      <c r="N70" s="8">
        <v>2834.39990234375</v>
      </c>
      <c r="P70">
        <f t="shared" si="26"/>
        <v>4.6683953450462621</v>
      </c>
      <c r="Q70">
        <f t="shared" si="27"/>
        <v>5.1099779386357422</v>
      </c>
      <c r="R70">
        <f t="shared" si="28"/>
        <v>-1.0817551716016869</v>
      </c>
      <c r="S70">
        <f t="shared" si="29"/>
        <v>4.5917133813014814</v>
      </c>
      <c r="T70">
        <f t="shared" si="30"/>
        <v>2.5649493574615367</v>
      </c>
      <c r="U70">
        <f t="shared" si="31"/>
        <v>-0.17217322574213989</v>
      </c>
      <c r="V70">
        <f t="shared" si="32"/>
        <v>-3.6419039258608219</v>
      </c>
      <c r="W70">
        <f t="shared" si="33"/>
        <v>6.0258659738253142</v>
      </c>
      <c r="X70">
        <f t="shared" si="34"/>
        <v>4.920272854015864</v>
      </c>
      <c r="Y70">
        <f t="shared" si="35"/>
        <v>2.3702437414678603</v>
      </c>
      <c r="Z70">
        <f t="shared" si="36"/>
        <v>7.5410462923887165</v>
      </c>
      <c r="AA70">
        <f t="shared" si="37"/>
        <v>11.465991077781014</v>
      </c>
      <c r="AB70">
        <f t="shared" si="38"/>
        <v>7.9495855190973206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ht="15.75" customHeight="1">
      <c r="A71" s="1" t="s">
        <v>103</v>
      </c>
      <c r="B71" s="1">
        <v>109.12</v>
      </c>
      <c r="C71" s="1">
        <v>165.66669999999999</v>
      </c>
      <c r="D71" s="1">
        <v>0.371</v>
      </c>
      <c r="E71" s="1">
        <v>100.42666666666599</v>
      </c>
      <c r="F71" s="1">
        <v>13</v>
      </c>
      <c r="G71" s="1">
        <v>0.84296666666666598</v>
      </c>
      <c r="H71" s="1">
        <v>2.23862189981964E-2</v>
      </c>
      <c r="I71" s="1">
        <v>420.666666666666</v>
      </c>
      <c r="J71" s="6">
        <v>138.78</v>
      </c>
      <c r="K71" s="4">
        <v>10.6</v>
      </c>
      <c r="L71" s="3">
        <v>1908.1</v>
      </c>
      <c r="M71" s="4">
        <v>100967</v>
      </c>
      <c r="N71" s="5">
        <v>2941.760009765625</v>
      </c>
      <c r="P71">
        <f t="shared" si="26"/>
        <v>4.6924481940951521</v>
      </c>
      <c r="Q71">
        <f t="shared" si="27"/>
        <v>5.1099779386357422</v>
      </c>
      <c r="R71">
        <f t="shared" si="28"/>
        <v>-0.99155321637470195</v>
      </c>
      <c r="S71">
        <f t="shared" si="29"/>
        <v>4.6094277762407261</v>
      </c>
      <c r="T71">
        <f t="shared" si="30"/>
        <v>2.5649493574615367</v>
      </c>
      <c r="U71">
        <f t="shared" si="31"/>
        <v>-0.17082786308274114</v>
      </c>
      <c r="V71">
        <f t="shared" si="32"/>
        <v>-3.799309732743454</v>
      </c>
      <c r="W71">
        <f t="shared" si="33"/>
        <v>6.0418407544330472</v>
      </c>
      <c r="X71">
        <f t="shared" si="34"/>
        <v>4.9328899454714028</v>
      </c>
      <c r="Y71">
        <f t="shared" si="35"/>
        <v>2.3608540011180215</v>
      </c>
      <c r="Z71">
        <f t="shared" si="36"/>
        <v>7.5538632615362964</v>
      </c>
      <c r="AA71">
        <f t="shared" si="37"/>
        <v>11.522549009761379</v>
      </c>
      <c r="AB71">
        <f t="shared" si="38"/>
        <v>7.986763323995044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ht="15.75" customHeight="1">
      <c r="A72" s="1" t="s">
        <v>104</v>
      </c>
      <c r="B72" s="1">
        <v>110.06</v>
      </c>
      <c r="C72" s="1">
        <v>137</v>
      </c>
      <c r="D72" s="1">
        <v>0.34100000000000003</v>
      </c>
      <c r="E72" s="1">
        <v>101.93</v>
      </c>
      <c r="F72" s="1">
        <v>16</v>
      </c>
      <c r="G72" s="1">
        <v>0.850766666666666</v>
      </c>
      <c r="H72" s="1">
        <v>1.6E-2</v>
      </c>
      <c r="I72" s="1">
        <v>399</v>
      </c>
      <c r="J72" s="6">
        <v>138.94999999999999</v>
      </c>
      <c r="K72" s="4">
        <v>10.5</v>
      </c>
      <c r="L72" s="3">
        <v>1930.5</v>
      </c>
      <c r="M72" s="4">
        <v>104745</v>
      </c>
      <c r="N72" s="5">
        <v>2976.739990234375</v>
      </c>
      <c r="P72">
        <f t="shared" si="26"/>
        <v>4.701025671631613</v>
      </c>
      <c r="Q72">
        <f t="shared" si="27"/>
        <v>4.9199809258281251</v>
      </c>
      <c r="R72">
        <f t="shared" si="28"/>
        <v>-1.0758728016986201</v>
      </c>
      <c r="S72">
        <f t="shared" si="29"/>
        <v>4.6242863031803214</v>
      </c>
      <c r="T72">
        <f t="shared" si="30"/>
        <v>2.7725887222397811</v>
      </c>
      <c r="U72">
        <f t="shared" si="31"/>
        <v>-0.16161737523566383</v>
      </c>
      <c r="V72">
        <f t="shared" si="32"/>
        <v>-4.1351665567423561</v>
      </c>
      <c r="W72">
        <f t="shared" si="33"/>
        <v>5.9889614168898637</v>
      </c>
      <c r="X72">
        <f t="shared" si="34"/>
        <v>4.9341141561885129</v>
      </c>
      <c r="Y72">
        <f t="shared" si="35"/>
        <v>2.3513752571634776</v>
      </c>
      <c r="Z72">
        <f t="shared" si="36"/>
        <v>7.5655343157042907</v>
      </c>
      <c r="AA72">
        <f t="shared" si="37"/>
        <v>11.559284103948245</v>
      </c>
      <c r="AB72">
        <f t="shared" si="38"/>
        <v>7.998584017676559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ht="15.75" customHeight="1">
      <c r="A73" s="1" t="s">
        <v>105</v>
      </c>
      <c r="B73" s="1">
        <v>112.47</v>
      </c>
      <c r="C73" s="1">
        <v>120</v>
      </c>
      <c r="D73" s="1">
        <v>0.41899999999999998</v>
      </c>
      <c r="E73" s="1">
        <v>99.586666666666602</v>
      </c>
      <c r="F73" s="1">
        <v>18</v>
      </c>
      <c r="G73" s="1">
        <v>0.86233333333333295</v>
      </c>
      <c r="H73" s="1">
        <v>0.01</v>
      </c>
      <c r="I73" s="1">
        <v>388</v>
      </c>
      <c r="J73" s="6">
        <v>139.18</v>
      </c>
      <c r="K73" s="4">
        <v>10.4</v>
      </c>
      <c r="L73" s="3">
        <v>1791.3</v>
      </c>
      <c r="M73" s="4">
        <v>115964</v>
      </c>
      <c r="N73" s="7">
        <v>3230.780029296875</v>
      </c>
      <c r="P73">
        <f t="shared" si="26"/>
        <v>4.7226865194159302</v>
      </c>
      <c r="Q73">
        <f t="shared" si="27"/>
        <v>4.7874917427820458</v>
      </c>
      <c r="R73">
        <f t="shared" si="28"/>
        <v>-0.86988435905999939</v>
      </c>
      <c r="S73">
        <f t="shared" si="29"/>
        <v>4.6010282868207559</v>
      </c>
      <c r="T73">
        <f t="shared" si="30"/>
        <v>2.8903717578961645</v>
      </c>
      <c r="U73">
        <f t="shared" si="31"/>
        <v>-0.14811338546421807</v>
      </c>
      <c r="V73">
        <f t="shared" si="32"/>
        <v>-4.6051701859880909</v>
      </c>
      <c r="W73">
        <f t="shared" si="33"/>
        <v>5.9610053396232736</v>
      </c>
      <c r="X73">
        <f t="shared" si="34"/>
        <v>4.9357680594167039</v>
      </c>
      <c r="Y73">
        <f t="shared" si="35"/>
        <v>2.341805806147327</v>
      </c>
      <c r="Z73">
        <f t="shared" si="36"/>
        <v>7.4906968922210568</v>
      </c>
      <c r="AA73">
        <f t="shared" si="37"/>
        <v>11.661035077093993</v>
      </c>
      <c r="AB73">
        <f t="shared" si="38"/>
        <v>8.080478882199797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ht="15.75" customHeight="1">
      <c r="A74" s="1" t="s">
        <v>106</v>
      </c>
      <c r="B74" s="1">
        <v>120.77</v>
      </c>
      <c r="C74" s="1">
        <v>166</v>
      </c>
      <c r="D74" s="1">
        <v>0.23899999999999999</v>
      </c>
      <c r="E74" s="1">
        <v>100.266666666666</v>
      </c>
      <c r="F74" s="1">
        <v>27</v>
      </c>
      <c r="G74" s="1">
        <v>0.86349999999999905</v>
      </c>
      <c r="H74" s="1">
        <v>5.5999999999999999E-3</v>
      </c>
      <c r="I74" s="1">
        <v>381.33333333333297</v>
      </c>
      <c r="J74" s="6">
        <v>129.88</v>
      </c>
      <c r="K74" s="4">
        <v>10.199999999999999</v>
      </c>
      <c r="L74" s="3">
        <v>1702.2</v>
      </c>
      <c r="M74" s="4">
        <v>73020</v>
      </c>
      <c r="N74" s="7">
        <v>2584.590087890625</v>
      </c>
      <c r="P74">
        <f t="shared" si="26"/>
        <v>4.7938879102872836</v>
      </c>
      <c r="Q74">
        <f t="shared" si="27"/>
        <v>5.1119877883565437</v>
      </c>
      <c r="R74">
        <f t="shared" si="28"/>
        <v>-1.4312917270506265</v>
      </c>
      <c r="S74">
        <f t="shared" si="29"/>
        <v>4.6078333034075687</v>
      </c>
      <c r="T74">
        <f t="shared" si="30"/>
        <v>3.2958368660043291</v>
      </c>
      <c r="U74">
        <f t="shared" si="31"/>
        <v>-0.14676138139540487</v>
      </c>
      <c r="V74">
        <f t="shared" si="32"/>
        <v>-5.1849886812410331</v>
      </c>
      <c r="W74">
        <f t="shared" si="33"/>
        <v>5.9436738832716323</v>
      </c>
      <c r="X74">
        <f t="shared" si="34"/>
        <v>4.866610947234645</v>
      </c>
      <c r="Y74">
        <f t="shared" si="35"/>
        <v>2.3223877202902252</v>
      </c>
      <c r="Z74">
        <f t="shared" si="36"/>
        <v>7.4396768110428608</v>
      </c>
      <c r="AA74">
        <f t="shared" si="37"/>
        <v>11.198488655209628</v>
      </c>
      <c r="AB74">
        <f t="shared" si="38"/>
        <v>7.8573222010185919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ht="15.75" customHeight="1">
      <c r="A75" s="1" t="s">
        <v>107</v>
      </c>
      <c r="B75" s="1">
        <v>143.49</v>
      </c>
      <c r="C75" s="1">
        <v>300</v>
      </c>
      <c r="D75" s="1">
        <v>0.26100000000000001</v>
      </c>
      <c r="E75" s="1">
        <v>96.653333333333293</v>
      </c>
      <c r="F75" s="1">
        <v>20</v>
      </c>
      <c r="G75" s="1">
        <v>0.88190000000000002</v>
      </c>
      <c r="H75" s="1">
        <v>-3.8759689999999999E-3</v>
      </c>
      <c r="I75" s="1">
        <v>359.33333333333297</v>
      </c>
      <c r="J75" s="6">
        <v>126.91</v>
      </c>
      <c r="K75" s="4">
        <v>9.9</v>
      </c>
      <c r="L75" s="3">
        <v>1439.3</v>
      </c>
      <c r="M75" s="4">
        <v>95056</v>
      </c>
      <c r="N75" s="7">
        <v>3100.2900390625</v>
      </c>
      <c r="P75">
        <f t="shared" ref="P75:P94" si="39">LN(B75)</f>
        <v>4.9662653463603155</v>
      </c>
      <c r="Q75">
        <f t="shared" ref="Q75:Q94" si="40">LN(C75)</f>
        <v>5.7037824746562009</v>
      </c>
      <c r="R75">
        <f t="shared" ref="R75:R94" si="41">LN(D75)</f>
        <v>-1.3432348716594436</v>
      </c>
      <c r="S75">
        <f t="shared" ref="S75:S94" si="42">LN(E75)</f>
        <v>4.5711306937645668</v>
      </c>
      <c r="T75">
        <f t="shared" ref="T75:T94" si="43">LN(F75)</f>
        <v>2.9957322735539909</v>
      </c>
      <c r="U75">
        <f t="shared" ref="U75:U94" si="44">LN(G75)</f>
        <v>-0.12567660808800193</v>
      </c>
      <c r="V75">
        <f>LN(1+H75)</f>
        <v>-3.8835000341797062E-3</v>
      </c>
      <c r="W75">
        <f t="shared" ref="W75:W94" si="45">LN(I75)</f>
        <v>5.8842504628008321</v>
      </c>
      <c r="X75">
        <f t="shared" ref="X75:X94" si="46">LN(J75)</f>
        <v>4.8434781738220734</v>
      </c>
      <c r="Y75">
        <f t="shared" ref="Y75:Y94" si="47">LN(K75)</f>
        <v>2.2925347571405443</v>
      </c>
      <c r="Z75">
        <f t="shared" ref="Z75:Z94" si="48">LN(L75)</f>
        <v>7.2719121632686248</v>
      </c>
      <c r="AA75">
        <f t="shared" ref="AA75:AA94" si="49">LN(M75)</f>
        <v>11.462221470595523</v>
      </c>
      <c r="AB75">
        <f t="shared" ref="AB75:AB94" si="50">LN(N75)</f>
        <v>8.0392509470845841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ht="15.75" customHeight="1">
      <c r="A76" s="1" t="s">
        <v>108</v>
      </c>
      <c r="B76" s="1">
        <v>148.15</v>
      </c>
      <c r="C76" s="1">
        <v>200</v>
      </c>
      <c r="D76" s="1">
        <v>0.26</v>
      </c>
      <c r="E76" s="1">
        <v>98.716666666666598</v>
      </c>
      <c r="F76" s="1">
        <v>18</v>
      </c>
      <c r="G76" s="1">
        <v>0.89433333333333298</v>
      </c>
      <c r="H76" s="1">
        <v>-4.3659390000000001E-3</v>
      </c>
      <c r="I76" s="1">
        <v>393.33333333333297</v>
      </c>
      <c r="J76" s="6">
        <v>136.54</v>
      </c>
      <c r="K76" s="4">
        <v>10.1</v>
      </c>
      <c r="L76" s="3">
        <v>1240.3</v>
      </c>
      <c r="M76" s="4">
        <v>94603</v>
      </c>
      <c r="N76" s="7">
        <v>3363</v>
      </c>
      <c r="P76">
        <f t="shared" si="39"/>
        <v>4.9982252740195747</v>
      </c>
      <c r="Q76">
        <f t="shared" si="40"/>
        <v>5.2983173665480363</v>
      </c>
      <c r="R76">
        <f t="shared" si="41"/>
        <v>-1.3470736479666092</v>
      </c>
      <c r="S76">
        <f t="shared" si="42"/>
        <v>4.592253794054864</v>
      </c>
      <c r="T76">
        <f t="shared" si="43"/>
        <v>2.8903717578961645</v>
      </c>
      <c r="U76">
        <f t="shared" si="44"/>
        <v>-0.111676717224623</v>
      </c>
      <c r="V76">
        <f>LN(1+H76)</f>
        <v>-4.3754975431659895E-3</v>
      </c>
      <c r="W76">
        <f t="shared" si="45"/>
        <v>5.9746574287916001</v>
      </c>
      <c r="X76">
        <f t="shared" si="46"/>
        <v>4.9166176119901346</v>
      </c>
      <c r="Y76">
        <f t="shared" si="47"/>
        <v>2.3125354238472138</v>
      </c>
      <c r="Z76">
        <f t="shared" si="48"/>
        <v>7.1231085648212842</v>
      </c>
      <c r="AA76">
        <f t="shared" si="49"/>
        <v>11.457444467010713</v>
      </c>
      <c r="AB76">
        <f t="shared" si="50"/>
        <v>8.12058871174027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ht="15.75" customHeight="1">
      <c r="A77" s="1" t="s">
        <v>109</v>
      </c>
      <c r="B77" s="1">
        <v>147.9</v>
      </c>
      <c r="C77" s="1">
        <v>174</v>
      </c>
      <c r="D77" s="1">
        <v>0.38299999999999995</v>
      </c>
      <c r="E77" s="1">
        <v>107.56333333333301</v>
      </c>
      <c r="F77" s="1">
        <v>27</v>
      </c>
      <c r="G77" s="1">
        <v>0.94079999999999997</v>
      </c>
      <c r="H77" s="1">
        <v>-1.572955E-3</v>
      </c>
      <c r="I77" s="1">
        <v>443</v>
      </c>
      <c r="J77" s="6">
        <v>139.55000000000001</v>
      </c>
      <c r="K77" s="4">
        <v>10.1</v>
      </c>
      <c r="L77" s="3">
        <v>1234.4000000000001</v>
      </c>
      <c r="M77" s="4">
        <v>119306</v>
      </c>
      <c r="N77" s="9">
        <v>3756.070068359375</v>
      </c>
      <c r="P77">
        <f t="shared" si="39"/>
        <v>4.996536369716754</v>
      </c>
      <c r="Q77">
        <f t="shared" si="40"/>
        <v>5.1590552992145291</v>
      </c>
      <c r="R77">
        <f t="shared" si="41"/>
        <v>-0.95972028980149116</v>
      </c>
      <c r="S77">
        <f t="shared" si="42"/>
        <v>4.6780798213754062</v>
      </c>
      <c r="T77">
        <f t="shared" si="43"/>
        <v>3.2958368660043291</v>
      </c>
      <c r="U77">
        <f t="shared" si="44"/>
        <v>-6.1024701837774607E-2</v>
      </c>
      <c r="V77">
        <f>LN(1+H77)</f>
        <v>-1.5741933925101593E-3</v>
      </c>
      <c r="W77">
        <f t="shared" si="45"/>
        <v>6.0935697700451357</v>
      </c>
      <c r="X77">
        <f t="shared" si="46"/>
        <v>4.9384229599823311</v>
      </c>
      <c r="Y77">
        <f t="shared" si="47"/>
        <v>2.3125354238472138</v>
      </c>
      <c r="Z77">
        <f t="shared" si="48"/>
        <v>7.118340301048951</v>
      </c>
      <c r="AA77">
        <f t="shared" si="49"/>
        <v>11.689446900199377</v>
      </c>
      <c r="AB77">
        <f t="shared" si="50"/>
        <v>8.2311284952019079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ht="15.75" customHeight="1">
      <c r="A78" s="1" t="s">
        <v>110</v>
      </c>
      <c r="B78" s="1">
        <v>149.35</v>
      </c>
      <c r="C78" s="1">
        <v>194</v>
      </c>
      <c r="D78" s="1">
        <v>0.315</v>
      </c>
      <c r="E78" s="1">
        <v>116.8</v>
      </c>
      <c r="F78" s="1">
        <v>25</v>
      </c>
      <c r="G78" s="1">
        <v>0.96106666666666596</v>
      </c>
      <c r="H78" s="1">
        <v>1.6999999999999999E-3</v>
      </c>
      <c r="I78" s="1">
        <v>506</v>
      </c>
      <c r="J78" s="6">
        <v>136.16999999999999</v>
      </c>
      <c r="K78" s="4">
        <v>10.1</v>
      </c>
      <c r="L78" s="3">
        <v>1130.8</v>
      </c>
      <c r="M78" s="4">
        <v>116634</v>
      </c>
      <c r="N78" s="7">
        <v>3972.889892578125</v>
      </c>
      <c r="P78">
        <f t="shared" si="39"/>
        <v>5.0062925446621191</v>
      </c>
      <c r="Q78">
        <f t="shared" si="40"/>
        <v>5.2678581590633282</v>
      </c>
      <c r="R78">
        <f t="shared" si="41"/>
        <v>-1.155182640156504</v>
      </c>
      <c r="S78">
        <f t="shared" si="42"/>
        <v>4.7604630703941266</v>
      </c>
      <c r="T78">
        <f t="shared" si="43"/>
        <v>3.2188758248682006</v>
      </c>
      <c r="U78">
        <f t="shared" si="44"/>
        <v>-3.97115002362287E-2</v>
      </c>
      <c r="V78">
        <f t="shared" ref="V78:V94" si="51">LN(H78)</f>
        <v>-6.3771270279199666</v>
      </c>
      <c r="W78">
        <f t="shared" si="45"/>
        <v>6.2265366692874657</v>
      </c>
      <c r="X78">
        <f t="shared" si="46"/>
        <v>4.913904105136484</v>
      </c>
      <c r="Y78">
        <f t="shared" si="47"/>
        <v>2.3125354238472138</v>
      </c>
      <c r="Z78">
        <f t="shared" si="48"/>
        <v>7.0306806258194356</v>
      </c>
      <c r="AA78">
        <f t="shared" si="49"/>
        <v>11.666796105590167</v>
      </c>
      <c r="AB78">
        <f t="shared" si="50"/>
        <v>8.2872490415061026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</row>
    <row r="79" spans="1:34" ht="15.75" customHeight="1">
      <c r="A79" s="1" t="s">
        <v>111</v>
      </c>
      <c r="B79" s="1">
        <v>143.97</v>
      </c>
      <c r="C79" s="1">
        <v>174</v>
      </c>
      <c r="D79" s="1">
        <v>0.39899999999999997</v>
      </c>
      <c r="E79" s="1">
        <v>116.546666666666</v>
      </c>
      <c r="F79" s="1">
        <v>16.600000000000001</v>
      </c>
      <c r="G79" s="1">
        <v>0.91739999999999999</v>
      </c>
      <c r="H79" s="1">
        <v>1.9300000000000001E-2</v>
      </c>
      <c r="I79" s="1">
        <v>562</v>
      </c>
      <c r="J79" s="6">
        <v>138.9</v>
      </c>
      <c r="K79" s="4">
        <v>10.1</v>
      </c>
      <c r="L79" s="3">
        <v>1206</v>
      </c>
      <c r="M79" s="4">
        <v>126802</v>
      </c>
      <c r="N79" s="8">
        <v>4297.5</v>
      </c>
      <c r="P79">
        <f t="shared" si="39"/>
        <v>4.969604944538264</v>
      </c>
      <c r="Q79">
        <f t="shared" si="40"/>
        <v>5.1590552992145291</v>
      </c>
      <c r="R79">
        <f t="shared" si="41"/>
        <v>-0.91879386209227365</v>
      </c>
      <c r="S79">
        <f t="shared" si="42"/>
        <v>4.7582917650441718</v>
      </c>
      <c r="T79">
        <f t="shared" si="43"/>
        <v>2.8094026953624978</v>
      </c>
      <c r="U79">
        <f t="shared" si="44"/>
        <v>-8.6211696819065445E-2</v>
      </c>
      <c r="V79">
        <f t="shared" si="51"/>
        <v>-3.9476501830712971</v>
      </c>
      <c r="W79">
        <f t="shared" si="45"/>
        <v>6.3315018498936908</v>
      </c>
      <c r="X79">
        <f t="shared" si="46"/>
        <v>4.9337542497602982</v>
      </c>
      <c r="Y79">
        <f t="shared" si="47"/>
        <v>2.3125354238472138</v>
      </c>
      <c r="Z79">
        <f t="shared" si="48"/>
        <v>7.0950643772871311</v>
      </c>
      <c r="AA79">
        <f t="shared" si="49"/>
        <v>11.750382093731535</v>
      </c>
      <c r="AB79">
        <f t="shared" si="50"/>
        <v>8.3657887372570041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ht="15.75" customHeight="1">
      <c r="A80" s="1" t="s">
        <v>112</v>
      </c>
      <c r="B80" s="1">
        <v>140</v>
      </c>
      <c r="C80" s="1">
        <v>183</v>
      </c>
      <c r="D80" s="1">
        <v>0.30399999999999999</v>
      </c>
      <c r="E80" s="1">
        <v>117</v>
      </c>
      <c r="F80" s="1">
        <v>19</v>
      </c>
      <c r="G80" s="1">
        <v>0.90369999999999995</v>
      </c>
      <c r="H80" s="1">
        <v>3.5999999999999997E-2</v>
      </c>
      <c r="I80" s="1">
        <v>571</v>
      </c>
      <c r="J80" s="6">
        <v>138.53</v>
      </c>
      <c r="K80" s="4">
        <v>10.1</v>
      </c>
      <c r="L80" s="3">
        <v>1371.5</v>
      </c>
      <c r="M80" s="4">
        <v>110979</v>
      </c>
      <c r="N80" s="7">
        <v>4307.5400390625</v>
      </c>
      <c r="P80">
        <f t="shared" si="39"/>
        <v>4.9416424226093039</v>
      </c>
      <c r="Q80">
        <f t="shared" si="40"/>
        <v>5.2094861528414214</v>
      </c>
      <c r="R80">
        <f t="shared" si="41"/>
        <v>-1.1907275775759154</v>
      </c>
      <c r="S80">
        <f t="shared" si="42"/>
        <v>4.7621739347977563</v>
      </c>
      <c r="T80">
        <f t="shared" si="43"/>
        <v>2.9444389791664403</v>
      </c>
      <c r="U80">
        <f t="shared" si="44"/>
        <v>-0.10125783207422699</v>
      </c>
      <c r="V80">
        <f t="shared" si="51"/>
        <v>-3.3242363405260273</v>
      </c>
      <c r="W80">
        <f t="shared" si="45"/>
        <v>6.3473892096560105</v>
      </c>
      <c r="X80">
        <f t="shared" si="46"/>
        <v>4.9310869086697879</v>
      </c>
      <c r="Y80">
        <f t="shared" si="47"/>
        <v>2.3125354238472138</v>
      </c>
      <c r="Z80">
        <f t="shared" si="48"/>
        <v>7.2236603103776575</v>
      </c>
      <c r="AA80">
        <f t="shared" si="49"/>
        <v>11.61709627320675</v>
      </c>
      <c r="AB80">
        <f t="shared" si="50"/>
        <v>8.3681222635562147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ht="15.75" customHeight="1">
      <c r="A81" s="1" t="s">
        <v>113</v>
      </c>
      <c r="B81" s="1">
        <v>144.6</v>
      </c>
      <c r="C81" s="1">
        <v>233</v>
      </c>
      <c r="D81" s="1">
        <v>0.36700000000000005</v>
      </c>
      <c r="E81" s="1">
        <v>106</v>
      </c>
      <c r="F81" s="1">
        <v>17.3</v>
      </c>
      <c r="G81" s="1">
        <v>0.88360000000000005</v>
      </c>
      <c r="H81" s="1">
        <v>6.2799999999999995E-2</v>
      </c>
      <c r="I81" s="1">
        <v>578</v>
      </c>
      <c r="J81" s="6">
        <v>141.36000000000001</v>
      </c>
      <c r="K81" s="4">
        <v>10.3</v>
      </c>
      <c r="L81" s="3">
        <v>1297</v>
      </c>
      <c r="M81" s="4">
        <v>104822</v>
      </c>
      <c r="N81" s="7">
        <v>4766.18017578125</v>
      </c>
      <c r="P81">
        <f t="shared" si="39"/>
        <v>4.9739713097246643</v>
      </c>
      <c r="Q81">
        <f t="shared" si="40"/>
        <v>5.4510384535657002</v>
      </c>
      <c r="R81">
        <f t="shared" si="41"/>
        <v>-1.0023934309275666</v>
      </c>
      <c r="S81">
        <f t="shared" si="42"/>
        <v>4.6634390941120669</v>
      </c>
      <c r="T81">
        <f t="shared" si="43"/>
        <v>2.8507065015037334</v>
      </c>
      <c r="U81">
        <f t="shared" si="44"/>
        <v>-0.12375080743617488</v>
      </c>
      <c r="V81">
        <f t="shared" si="51"/>
        <v>-2.7678002055079842</v>
      </c>
      <c r="W81">
        <f t="shared" si="45"/>
        <v>6.3595738686723777</v>
      </c>
      <c r="X81">
        <f t="shared" si="46"/>
        <v>4.9513098280114409</v>
      </c>
      <c r="Y81">
        <f t="shared" si="47"/>
        <v>2.33214389523559</v>
      </c>
      <c r="Z81">
        <f t="shared" si="48"/>
        <v>7.167809184316444</v>
      </c>
      <c r="AA81">
        <f t="shared" si="49"/>
        <v>11.560018952502311</v>
      </c>
      <c r="AB81">
        <f t="shared" si="50"/>
        <v>8.4693004613463962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ht="15.75" customHeight="1">
      <c r="A82" s="1" t="s">
        <v>114</v>
      </c>
      <c r="B82" s="1">
        <v>134.6</v>
      </c>
      <c r="C82" s="1">
        <v>216</v>
      </c>
      <c r="D82" s="1">
        <v>0.51200000000000001</v>
      </c>
      <c r="E82" s="1">
        <v>106.81</v>
      </c>
      <c r="F82" s="1">
        <v>24.6</v>
      </c>
      <c r="G82" s="1">
        <v>0.88</v>
      </c>
      <c r="H82" s="1">
        <v>7.6999999999999999E-2</v>
      </c>
      <c r="I82" s="1">
        <v>634</v>
      </c>
      <c r="J82" s="6">
        <v>142.33000000000001</v>
      </c>
      <c r="K82" s="4">
        <v>10.3</v>
      </c>
      <c r="L82" s="3">
        <v>1318.9</v>
      </c>
      <c r="M82" s="4">
        <v>119999</v>
      </c>
      <c r="N82" s="7">
        <v>4530.41015625</v>
      </c>
      <c r="P82">
        <f t="shared" si="39"/>
        <v>4.9023074172106273</v>
      </c>
      <c r="Q82">
        <f t="shared" si="40"/>
        <v>5.3752784076841653</v>
      </c>
      <c r="R82">
        <f t="shared" si="41"/>
        <v>-0.66943065394262924</v>
      </c>
      <c r="S82">
        <f t="shared" si="42"/>
        <v>4.6710515551016041</v>
      </c>
      <c r="T82">
        <f t="shared" si="43"/>
        <v>3.202746442938317</v>
      </c>
      <c r="U82">
        <f t="shared" si="44"/>
        <v>-0.12783337150988489</v>
      </c>
      <c r="V82">
        <f t="shared" si="51"/>
        <v>-2.5639498571284531</v>
      </c>
      <c r="W82">
        <f t="shared" si="45"/>
        <v>6.4520489544372257</v>
      </c>
      <c r="X82">
        <f t="shared" si="46"/>
        <v>4.9581483050825339</v>
      </c>
      <c r="Y82">
        <f t="shared" si="47"/>
        <v>2.33214389523559</v>
      </c>
      <c r="Z82">
        <f t="shared" si="48"/>
        <v>7.1845533348318389</v>
      </c>
      <c r="AA82">
        <f t="shared" si="49"/>
        <v>11.695238688396127</v>
      </c>
      <c r="AB82">
        <f t="shared" si="50"/>
        <v>8.4185677565969232</v>
      </c>
      <c r="AC82" s="1">
        <v>0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</row>
    <row r="83" spans="1:34" ht="15.75" customHeight="1">
      <c r="A83" s="1" t="s">
        <v>115</v>
      </c>
      <c r="B83" s="1">
        <v>121.94</v>
      </c>
      <c r="C83" s="1">
        <v>250</v>
      </c>
      <c r="D83" s="1">
        <v>0.40100000000000002</v>
      </c>
      <c r="E83" s="1">
        <v>105.3</v>
      </c>
      <c r="F83" s="1">
        <v>28.1</v>
      </c>
      <c r="G83" s="1">
        <v>0.86899999999999999</v>
      </c>
      <c r="H83" s="1">
        <v>7.6999999999999999E-2</v>
      </c>
      <c r="I83" s="1">
        <v>596</v>
      </c>
      <c r="J83" s="6">
        <v>143.35</v>
      </c>
      <c r="K83" s="4">
        <v>10.4</v>
      </c>
      <c r="L83" s="3">
        <v>1462.2</v>
      </c>
      <c r="M83" s="4">
        <v>98542</v>
      </c>
      <c r="N83" s="7">
        <v>3785.3798828125</v>
      </c>
      <c r="P83">
        <f t="shared" si="39"/>
        <v>4.80352912047967</v>
      </c>
      <c r="Q83">
        <f t="shared" si="40"/>
        <v>5.521460917862246</v>
      </c>
      <c r="R83">
        <f t="shared" si="41"/>
        <v>-0.91379385167556781</v>
      </c>
      <c r="S83">
        <f t="shared" si="42"/>
        <v>4.6568134191399295</v>
      </c>
      <c r="T83">
        <f t="shared" si="43"/>
        <v>3.3357695763396999</v>
      </c>
      <c r="U83">
        <f t="shared" si="44"/>
        <v>-0.14041215371674501</v>
      </c>
      <c r="V83">
        <f t="shared" si="51"/>
        <v>-2.5639498571284531</v>
      </c>
      <c r="W83">
        <f t="shared" si="45"/>
        <v>6.39024066706535</v>
      </c>
      <c r="X83">
        <f t="shared" si="46"/>
        <v>4.9652891923293785</v>
      </c>
      <c r="Y83">
        <f t="shared" si="47"/>
        <v>2.341805806147327</v>
      </c>
      <c r="Z83">
        <f t="shared" si="48"/>
        <v>7.2876974298592154</v>
      </c>
      <c r="AA83">
        <f t="shared" si="49"/>
        <v>11.498238132218351</v>
      </c>
      <c r="AB83">
        <f t="shared" si="50"/>
        <v>8.238901526175443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ht="15.75" customHeight="1">
      <c r="A84" s="1" t="s">
        <v>116</v>
      </c>
      <c r="B84" s="1">
        <v>129.80000000000001</v>
      </c>
      <c r="C84" s="1">
        <v>273</v>
      </c>
      <c r="D84" s="1">
        <v>0.39500000000000002</v>
      </c>
      <c r="E84" s="1">
        <v>108.15</v>
      </c>
      <c r="F84" s="1">
        <v>22.2</v>
      </c>
      <c r="G84" s="1">
        <v>0.84630000000000005</v>
      </c>
      <c r="H84" s="1">
        <v>7.6999999999999999E-2</v>
      </c>
      <c r="I84" s="1">
        <v>559</v>
      </c>
      <c r="J84" s="6">
        <v>144.01</v>
      </c>
      <c r="K84" s="4">
        <v>10.199999999999999</v>
      </c>
      <c r="L84" s="3">
        <v>1678.3</v>
      </c>
      <c r="M84" s="4">
        <v>110037</v>
      </c>
      <c r="N84" s="7">
        <v>3585.6201171875</v>
      </c>
      <c r="P84">
        <f t="shared" si="39"/>
        <v>4.8659948042699899</v>
      </c>
      <c r="Q84">
        <f t="shared" si="40"/>
        <v>5.6094717951849598</v>
      </c>
      <c r="R84">
        <f t="shared" si="41"/>
        <v>-0.92886951408101515</v>
      </c>
      <c r="S84">
        <f t="shared" si="42"/>
        <v>4.683519152399068</v>
      </c>
      <c r="T84">
        <f t="shared" si="43"/>
        <v>3.1000922888782338</v>
      </c>
      <c r="U84">
        <f t="shared" si="44"/>
        <v>-0.16688137230607669</v>
      </c>
      <c r="V84">
        <f t="shared" si="51"/>
        <v>-2.5639498571284531</v>
      </c>
      <c r="W84">
        <f t="shared" si="45"/>
        <v>6.3261494731550991</v>
      </c>
      <c r="X84">
        <f t="shared" si="46"/>
        <v>4.9698827416092914</v>
      </c>
      <c r="Y84">
        <f t="shared" si="47"/>
        <v>2.3223877202902252</v>
      </c>
      <c r="Z84">
        <f t="shared" si="48"/>
        <v>7.4255366553141338</v>
      </c>
      <c r="AA84">
        <f t="shared" si="49"/>
        <v>11.608571951853351</v>
      </c>
      <c r="AB84">
        <f t="shared" si="50"/>
        <v>8.1846867135807617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</row>
    <row r="85" spans="1:34" ht="15.75" customHeight="1">
      <c r="A85" s="1" t="s">
        <v>117</v>
      </c>
      <c r="B85" s="1">
        <v>128</v>
      </c>
      <c r="C85" s="1">
        <v>259</v>
      </c>
      <c r="D85" s="1">
        <v>0.42200000000000004</v>
      </c>
      <c r="E85" s="1">
        <v>106</v>
      </c>
      <c r="F85" s="1">
        <v>20.6</v>
      </c>
      <c r="G85" s="1">
        <v>0.83440000000000003</v>
      </c>
      <c r="H85" s="1">
        <v>7.6899999999999996E-2</v>
      </c>
      <c r="I85" s="1">
        <v>554</v>
      </c>
      <c r="J85" s="6">
        <v>142.93</v>
      </c>
      <c r="K85" s="4">
        <v>10.4</v>
      </c>
      <c r="L85" s="3">
        <v>1724.8</v>
      </c>
      <c r="M85" s="4">
        <v>110031</v>
      </c>
      <c r="N85" s="8">
        <v>3839.5</v>
      </c>
      <c r="P85">
        <f t="shared" si="39"/>
        <v>4.8520302639196169</v>
      </c>
      <c r="Q85">
        <f t="shared" si="40"/>
        <v>5.5568280616995374</v>
      </c>
      <c r="R85">
        <f t="shared" si="41"/>
        <v>-0.8627499649461251</v>
      </c>
      <c r="S85">
        <f t="shared" si="42"/>
        <v>4.6634390941120669</v>
      </c>
      <c r="T85">
        <f t="shared" si="43"/>
        <v>3.0252910757955354</v>
      </c>
      <c r="U85">
        <f t="shared" si="44"/>
        <v>-0.18104237529557432</v>
      </c>
      <c r="V85">
        <f t="shared" si="51"/>
        <v>-2.5652494024705388</v>
      </c>
      <c r="W85">
        <f t="shared" si="45"/>
        <v>6.3171646867472839</v>
      </c>
      <c r="X85">
        <f t="shared" si="46"/>
        <v>4.9623549999210237</v>
      </c>
      <c r="Y85">
        <f t="shared" si="47"/>
        <v>2.341805806147327</v>
      </c>
      <c r="Z85">
        <f t="shared" si="48"/>
        <v>7.4528663807146778</v>
      </c>
      <c r="AA85">
        <f t="shared" si="49"/>
        <v>11.608517423253087</v>
      </c>
      <c r="AB85">
        <f t="shared" si="50"/>
        <v>8.253097428770598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ht="15.75" customHeight="1">
      <c r="A86" s="1" t="s">
        <v>118</v>
      </c>
      <c r="B86" s="1">
        <v>129</v>
      </c>
      <c r="C86" s="1">
        <v>225</v>
      </c>
      <c r="D86" s="1">
        <v>0.41899999999999998</v>
      </c>
      <c r="E86" s="1">
        <v>105.8</v>
      </c>
      <c r="F86" s="1">
        <v>20.23</v>
      </c>
      <c r="G86" s="1">
        <v>0.81599999999999995</v>
      </c>
      <c r="H86" s="1">
        <v>7.1300000000000002E-2</v>
      </c>
      <c r="I86" s="1">
        <v>550</v>
      </c>
      <c r="J86" s="6">
        <v>147.5</v>
      </c>
      <c r="K86" s="4">
        <v>10.199999999999999</v>
      </c>
      <c r="L86" s="3">
        <v>1708.4</v>
      </c>
      <c r="M86" s="4">
        <v>101882</v>
      </c>
      <c r="N86" s="7">
        <v>4109.31005859375</v>
      </c>
      <c r="P86">
        <f t="shared" si="39"/>
        <v>4.8598124043616719</v>
      </c>
      <c r="Q86">
        <f t="shared" si="40"/>
        <v>5.4161004022044201</v>
      </c>
      <c r="R86">
        <f t="shared" si="41"/>
        <v>-0.86988435905999939</v>
      </c>
      <c r="S86">
        <f t="shared" si="42"/>
        <v>4.6615505194241988</v>
      </c>
      <c r="T86">
        <f t="shared" si="43"/>
        <v>3.007166651179654</v>
      </c>
      <c r="U86">
        <f t="shared" si="44"/>
        <v>-0.20334092401803011</v>
      </c>
      <c r="V86">
        <f t="shared" si="51"/>
        <v>-2.6408589515618868</v>
      </c>
      <c r="W86">
        <f t="shared" si="45"/>
        <v>6.3099182782265162</v>
      </c>
      <c r="X86">
        <f t="shared" si="46"/>
        <v>4.9938281757798748</v>
      </c>
      <c r="Y86">
        <f t="shared" si="47"/>
        <v>2.3223877202902252</v>
      </c>
      <c r="Z86">
        <f t="shared" si="48"/>
        <v>7.4433125389673114</v>
      </c>
      <c r="AA86">
        <f t="shared" si="49"/>
        <v>11.531570559839068</v>
      </c>
      <c r="AB86">
        <f t="shared" si="50"/>
        <v>8.3210104244434184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ht="15.75" customHeight="1">
      <c r="A87" s="1" t="s">
        <v>119</v>
      </c>
      <c r="B87" s="1">
        <v>120.88</v>
      </c>
      <c r="C87" s="1">
        <v>200</v>
      </c>
      <c r="D87" s="1">
        <v>0.46100000000000002</v>
      </c>
      <c r="E87" s="1">
        <v>108</v>
      </c>
      <c r="F87" s="1">
        <v>16.600000000000001</v>
      </c>
      <c r="G87" s="1">
        <v>0.82720000000000005</v>
      </c>
      <c r="H87" s="1">
        <v>7.0000000000000007E-2</v>
      </c>
      <c r="I87" s="1">
        <v>547</v>
      </c>
      <c r="J87" s="10">
        <f t="shared" ref="J87:J94" si="52">J86+1.57</f>
        <v>149.07</v>
      </c>
      <c r="K87" s="4">
        <v>10.199999999999999</v>
      </c>
      <c r="L87" s="3">
        <v>1866.4</v>
      </c>
      <c r="M87" s="4">
        <v>118087</v>
      </c>
      <c r="N87" s="7">
        <v>4450.3798828125</v>
      </c>
      <c r="P87">
        <f t="shared" si="39"/>
        <v>4.7947983179644842</v>
      </c>
      <c r="Q87">
        <f t="shared" si="40"/>
        <v>5.2983173665480363</v>
      </c>
      <c r="R87">
        <f t="shared" si="41"/>
        <v>-0.77435723598548845</v>
      </c>
      <c r="S87">
        <f t="shared" si="42"/>
        <v>4.6821312271242199</v>
      </c>
      <c r="T87">
        <f t="shared" si="43"/>
        <v>2.8094026953624978</v>
      </c>
      <c r="U87">
        <f t="shared" si="44"/>
        <v>-0.1897087752279723</v>
      </c>
      <c r="V87">
        <f t="shared" si="51"/>
        <v>-2.6592600369327779</v>
      </c>
      <c r="W87">
        <f t="shared" si="45"/>
        <v>6.3044488024219811</v>
      </c>
      <c r="X87">
        <f t="shared" si="46"/>
        <v>5.004415994282339</v>
      </c>
      <c r="Y87">
        <f t="shared" si="47"/>
        <v>2.3223877202902252</v>
      </c>
      <c r="Z87">
        <f t="shared" si="48"/>
        <v>7.5317667207072203</v>
      </c>
      <c r="AA87">
        <f t="shared" si="49"/>
        <v>11.679176919920019</v>
      </c>
      <c r="AB87">
        <f t="shared" si="50"/>
        <v>8.4007447384408955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</row>
    <row r="88" spans="1:34" ht="15.75" customHeight="1">
      <c r="A88" s="1" t="s">
        <v>120</v>
      </c>
      <c r="B88" s="1">
        <v>118.77</v>
      </c>
      <c r="C88" s="1">
        <v>171</v>
      </c>
      <c r="D88" s="1">
        <v>0.43099999999999999</v>
      </c>
      <c r="E88" s="1">
        <v>110.3</v>
      </c>
      <c r="F88" s="1">
        <v>15.8</v>
      </c>
      <c r="G88" s="1">
        <v>0.82520000000000004</v>
      </c>
      <c r="H88" s="1">
        <v>6.6000000000000003E-2</v>
      </c>
      <c r="I88" s="1">
        <v>555</v>
      </c>
      <c r="J88" s="10">
        <f t="shared" si="52"/>
        <v>150.63999999999999</v>
      </c>
      <c r="K88" s="4">
        <v>10.3</v>
      </c>
      <c r="L88" s="3">
        <v>1839.9</v>
      </c>
      <c r="M88" s="4">
        <v>116565</v>
      </c>
      <c r="N88" s="9">
        <v>4288.0498046875</v>
      </c>
      <c r="P88">
        <f t="shared" si="39"/>
        <v>4.7771888497861488</v>
      </c>
      <c r="Q88">
        <f t="shared" si="40"/>
        <v>5.1416635565026603</v>
      </c>
      <c r="R88">
        <f t="shared" si="41"/>
        <v>-0.8416471888783893</v>
      </c>
      <c r="S88">
        <f t="shared" si="42"/>
        <v>4.7032039262594569</v>
      </c>
      <c r="T88">
        <f t="shared" si="43"/>
        <v>2.760009940032921</v>
      </c>
      <c r="U88">
        <f t="shared" si="44"/>
        <v>-0.19212949778504024</v>
      </c>
      <c r="V88">
        <f t="shared" si="51"/>
        <v>-2.7181005369557116</v>
      </c>
      <c r="W88">
        <f t="shared" si="45"/>
        <v>6.3189681137464344</v>
      </c>
      <c r="X88">
        <f t="shared" si="46"/>
        <v>5.0148928843488969</v>
      </c>
      <c r="Y88">
        <f t="shared" si="47"/>
        <v>2.33214389523559</v>
      </c>
      <c r="Z88">
        <f t="shared" si="48"/>
        <v>7.5174665013000475</v>
      </c>
      <c r="AA88">
        <f t="shared" si="49"/>
        <v>11.666204336311452</v>
      </c>
      <c r="AB88">
        <f t="shared" si="50"/>
        <v>8.3635873175823221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 ht="15.75" customHeight="1">
      <c r="A89" s="1" t="s">
        <v>121</v>
      </c>
      <c r="B89" s="1">
        <v>118.42</v>
      </c>
      <c r="C89" s="1">
        <v>153</v>
      </c>
      <c r="D89" s="1">
        <v>0.44900000000000001</v>
      </c>
      <c r="E89" s="1">
        <v>114.48</v>
      </c>
      <c r="F89" s="1">
        <v>13.2</v>
      </c>
      <c r="G89" s="1">
        <v>0.83220000000000005</v>
      </c>
      <c r="H89" s="1">
        <v>5.8999999999999997E-2</v>
      </c>
      <c r="I89" s="1">
        <v>526</v>
      </c>
      <c r="J89" s="10">
        <f t="shared" si="52"/>
        <v>152.20999999999998</v>
      </c>
      <c r="K89" s="4">
        <v>10.3</v>
      </c>
      <c r="L89" s="3">
        <v>1947</v>
      </c>
      <c r="M89" s="4">
        <v>134185</v>
      </c>
      <c r="N89" s="7">
        <v>4769.830078125</v>
      </c>
      <c r="P89">
        <f t="shared" si="39"/>
        <v>4.7742376271036298</v>
      </c>
      <c r="Q89">
        <f t="shared" si="40"/>
        <v>5.0304379213924353</v>
      </c>
      <c r="R89">
        <f t="shared" si="41"/>
        <v>-0.80073239123988271</v>
      </c>
      <c r="S89">
        <f t="shared" si="42"/>
        <v>4.7404001352481959</v>
      </c>
      <c r="T89">
        <f t="shared" si="43"/>
        <v>2.5802168295923251</v>
      </c>
      <c r="U89">
        <f t="shared" si="44"/>
        <v>-0.18368248243329607</v>
      </c>
      <c r="V89">
        <f t="shared" si="51"/>
        <v>-2.8302178350764176</v>
      </c>
      <c r="W89">
        <f t="shared" si="45"/>
        <v>6.2653012127377101</v>
      </c>
      <c r="X89">
        <f t="shared" si="46"/>
        <v>5.0252611462915757</v>
      </c>
      <c r="Y89">
        <f t="shared" si="47"/>
        <v>2.33214389523559</v>
      </c>
      <c r="Z89">
        <f t="shared" si="48"/>
        <v>7.5740450053721995</v>
      </c>
      <c r="AA89">
        <f t="shared" si="49"/>
        <v>11.806974723800169</v>
      </c>
      <c r="AB89">
        <f t="shared" si="50"/>
        <v>8.4700659602132795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</row>
    <row r="90" spans="1:34" ht="15.75" customHeight="1">
      <c r="A90" s="1" t="s">
        <v>122</v>
      </c>
      <c r="B90" s="1">
        <v>116.37</v>
      </c>
      <c r="C90" s="1">
        <v>133</v>
      </c>
      <c r="D90" s="1">
        <v>0.44700000000000001</v>
      </c>
      <c r="E90" s="1">
        <v>114.19</v>
      </c>
      <c r="F90" s="1">
        <v>13.2</v>
      </c>
      <c r="G90" s="1">
        <v>0.84589999999999999</v>
      </c>
      <c r="H90" s="1">
        <v>5.8040000000000001E-2</v>
      </c>
      <c r="I90" s="1">
        <v>527</v>
      </c>
      <c r="J90" s="10">
        <f t="shared" si="52"/>
        <v>153.77999999999997</v>
      </c>
      <c r="K90" s="4">
        <v>10.1</v>
      </c>
      <c r="L90" s="3">
        <v>1981.2</v>
      </c>
      <c r="M90" s="4">
        <v>128106</v>
      </c>
      <c r="N90" s="7">
        <v>5254.35009765625</v>
      </c>
      <c r="P90">
        <f t="shared" si="39"/>
        <v>4.7567747701199856</v>
      </c>
      <c r="Q90">
        <f t="shared" si="40"/>
        <v>4.8903491282217537</v>
      </c>
      <c r="R90">
        <f t="shared" si="41"/>
        <v>-0.80519668436856817</v>
      </c>
      <c r="S90">
        <f t="shared" si="42"/>
        <v>4.7378637277135569</v>
      </c>
      <c r="T90">
        <f t="shared" si="43"/>
        <v>2.5802168295923251</v>
      </c>
      <c r="U90">
        <f t="shared" si="44"/>
        <v>-0.16735412967216823</v>
      </c>
      <c r="V90">
        <f t="shared" si="51"/>
        <v>-2.84662285096615</v>
      </c>
      <c r="W90">
        <f t="shared" si="45"/>
        <v>6.2672005485413624</v>
      </c>
      <c r="X90">
        <f t="shared" si="46"/>
        <v>5.0355230096040344</v>
      </c>
      <c r="Y90">
        <f t="shared" si="47"/>
        <v>2.3125354238472138</v>
      </c>
      <c r="Z90">
        <f t="shared" si="48"/>
        <v>7.5914580007140824</v>
      </c>
      <c r="AA90">
        <f t="shared" si="49"/>
        <v>11.760613325195436</v>
      </c>
      <c r="AB90">
        <f t="shared" si="50"/>
        <v>8.5668116025242202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</row>
    <row r="91" spans="1:34" ht="15.75" customHeight="1">
      <c r="A91" s="1" t="s">
        <v>123</v>
      </c>
      <c r="B91" s="1">
        <v>122.51</v>
      </c>
      <c r="C91" s="1">
        <v>145</v>
      </c>
      <c r="D91" s="1">
        <v>0.42</v>
      </c>
      <c r="E91" s="1">
        <v>111.35</v>
      </c>
      <c r="F91" s="1">
        <v>12.26</v>
      </c>
      <c r="G91" s="1">
        <v>0.87560000000000004</v>
      </c>
      <c r="H91" s="1">
        <v>6.5500000000000003E-2</v>
      </c>
      <c r="I91" s="1">
        <v>539</v>
      </c>
      <c r="J91" s="10">
        <f t="shared" si="52"/>
        <v>155.34999999999997</v>
      </c>
      <c r="K91" s="4">
        <v>10</v>
      </c>
      <c r="L91" s="3">
        <v>2203.8000000000002</v>
      </c>
      <c r="M91" s="4">
        <v>123907</v>
      </c>
      <c r="N91" s="7">
        <v>5460.47998046875</v>
      </c>
      <c r="P91">
        <f t="shared" si="39"/>
        <v>4.8081926593060791</v>
      </c>
      <c r="Q91">
        <f t="shared" si="40"/>
        <v>4.9767337424205742</v>
      </c>
      <c r="R91">
        <f t="shared" si="41"/>
        <v>-0.86750056770472306</v>
      </c>
      <c r="S91">
        <f t="shared" si="42"/>
        <v>4.7126783937033769</v>
      </c>
      <c r="T91">
        <f t="shared" si="43"/>
        <v>2.5063419305080652</v>
      </c>
      <c r="U91">
        <f t="shared" si="44"/>
        <v>-0.13284591333342913</v>
      </c>
      <c r="V91">
        <f t="shared" si="51"/>
        <v>-2.7257051363409306</v>
      </c>
      <c r="W91">
        <f t="shared" si="45"/>
        <v>6.2897155709089976</v>
      </c>
      <c r="X91">
        <f t="shared" si="46"/>
        <v>5.045680635839056</v>
      </c>
      <c r="Y91">
        <f t="shared" si="47"/>
        <v>2.3025850929940459</v>
      </c>
      <c r="Z91">
        <f t="shared" si="48"/>
        <v>7.6979384220536771</v>
      </c>
      <c r="AA91">
        <f t="shared" si="49"/>
        <v>11.72728656319647</v>
      </c>
      <c r="AB91">
        <f t="shared" si="50"/>
        <v>8.6052919733859845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 ht="15.75" customHeight="1">
      <c r="A92" s="1" t="s">
        <v>124</v>
      </c>
      <c r="B92" s="1">
        <v>133.18</v>
      </c>
      <c r="C92" s="1">
        <v>155</v>
      </c>
      <c r="D92" s="1">
        <v>0.435</v>
      </c>
      <c r="E92" s="1">
        <v>114.17</v>
      </c>
      <c r="F92" s="1">
        <v>20.46</v>
      </c>
      <c r="G92" s="1">
        <v>0.84899999999999998</v>
      </c>
      <c r="H92" s="1">
        <v>7.1840000000000001E-2</v>
      </c>
      <c r="I92" s="1">
        <v>540</v>
      </c>
      <c r="J92" s="10">
        <f t="shared" si="52"/>
        <v>156.91999999999996</v>
      </c>
      <c r="K92" s="4">
        <v>10</v>
      </c>
      <c r="L92" s="3">
        <v>2256.1999999999998</v>
      </c>
      <c r="M92" s="4">
        <v>131816</v>
      </c>
      <c r="N92" s="7">
        <v>5762.47998046875</v>
      </c>
      <c r="P92">
        <f t="shared" si="39"/>
        <v>4.8917015966824762</v>
      </c>
      <c r="Q92">
        <f t="shared" si="40"/>
        <v>5.0434251169192468</v>
      </c>
      <c r="R92">
        <f t="shared" si="41"/>
        <v>-0.83240924789345294</v>
      </c>
      <c r="S92">
        <f t="shared" si="42"/>
        <v>4.7376885656882362</v>
      </c>
      <c r="T92">
        <f t="shared" si="43"/>
        <v>3.0184717605234805</v>
      </c>
      <c r="U92">
        <f t="shared" si="44"/>
        <v>-0.16369609267078977</v>
      </c>
      <c r="V92">
        <f t="shared" si="51"/>
        <v>-2.6333138549881929</v>
      </c>
      <c r="W92">
        <f t="shared" si="45"/>
        <v>6.2915691395583204</v>
      </c>
      <c r="X92">
        <f t="shared" si="46"/>
        <v>5.0557361213413516</v>
      </c>
      <c r="Y92">
        <f t="shared" si="47"/>
        <v>2.3025850929940459</v>
      </c>
      <c r="Z92">
        <f t="shared" si="48"/>
        <v>7.72143726117082</v>
      </c>
      <c r="AA92">
        <f t="shared" si="49"/>
        <v>11.789162289737268</v>
      </c>
      <c r="AB92">
        <f t="shared" si="50"/>
        <v>8.6591232131936628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</row>
    <row r="93" spans="1:34" ht="15.75" customHeight="1">
      <c r="A93" s="1" t="s">
        <v>125</v>
      </c>
      <c r="B93" s="1">
        <v>135.85</v>
      </c>
      <c r="C93" s="1">
        <v>197</v>
      </c>
      <c r="D93" s="1">
        <v>0.41</v>
      </c>
      <c r="E93" s="1">
        <v>116.72</v>
      </c>
      <c r="F93" s="1">
        <v>19.54</v>
      </c>
      <c r="G93" s="1">
        <v>0.87280000000000002</v>
      </c>
      <c r="H93" s="1">
        <v>8.1079999999999999E-2</v>
      </c>
      <c r="I93" s="1">
        <v>536</v>
      </c>
      <c r="J93" s="10">
        <f t="shared" si="52"/>
        <v>158.48999999999995</v>
      </c>
      <c r="K93" s="4">
        <v>9.9</v>
      </c>
      <c r="L93" s="3">
        <v>2257.1</v>
      </c>
      <c r="M93" s="4">
        <v>120283</v>
      </c>
      <c r="N93" s="7">
        <v>5881.6298828125</v>
      </c>
      <c r="P93">
        <f t="shared" si="39"/>
        <v>4.9115513358723568</v>
      </c>
      <c r="Q93">
        <f t="shared" si="40"/>
        <v>5.2832037287379885</v>
      </c>
      <c r="R93">
        <f t="shared" si="41"/>
        <v>-0.89159811928378363</v>
      </c>
      <c r="S93">
        <f t="shared" si="42"/>
        <v>4.7597779042145305</v>
      </c>
      <c r="T93">
        <f t="shared" si="43"/>
        <v>2.9724636466146368</v>
      </c>
      <c r="U93">
        <f t="shared" si="44"/>
        <v>-0.13604884446327598</v>
      </c>
      <c r="V93">
        <f t="shared" si="51"/>
        <v>-2.512318957398338</v>
      </c>
      <c r="W93">
        <f t="shared" si="45"/>
        <v>6.2841341610708019</v>
      </c>
      <c r="X93">
        <f t="shared" si="46"/>
        <v>5.0656914998443341</v>
      </c>
      <c r="Y93">
        <f t="shared" si="47"/>
        <v>2.2925347571405443</v>
      </c>
      <c r="Z93">
        <f t="shared" si="48"/>
        <v>7.7218360824377106</v>
      </c>
      <c r="AA93">
        <f t="shared" si="49"/>
        <v>11.697602578593886</v>
      </c>
      <c r="AB93">
        <f t="shared" si="50"/>
        <v>8.6795891934368647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</row>
    <row r="94" spans="1:34" ht="15.75" customHeight="1">
      <c r="A94" s="1" t="s">
        <v>126</v>
      </c>
      <c r="B94" s="1">
        <v>132.87</v>
      </c>
      <c r="C94" s="1">
        <v>198</v>
      </c>
      <c r="D94" s="1">
        <v>0.42</v>
      </c>
      <c r="E94" s="1">
        <v>114.41</v>
      </c>
      <c r="F94" s="1">
        <v>37.56</v>
      </c>
      <c r="G94" s="1">
        <v>0.88260000000000005</v>
      </c>
      <c r="H94" s="1">
        <v>8.5470000000000004E-2</v>
      </c>
      <c r="I94" s="1">
        <v>547</v>
      </c>
      <c r="J94" s="10">
        <f t="shared" si="52"/>
        <v>160.05999999999995</v>
      </c>
      <c r="K94" s="4">
        <v>9.6999999999999993</v>
      </c>
      <c r="L94" s="3">
        <v>2069.3000000000002</v>
      </c>
      <c r="M94" s="4">
        <v>130260</v>
      </c>
      <c r="N94" s="7">
        <v>5611.85009765625</v>
      </c>
      <c r="P94">
        <f t="shared" si="39"/>
        <v>4.8893712066032169</v>
      </c>
      <c r="Q94">
        <f t="shared" si="40"/>
        <v>5.2882670306945352</v>
      </c>
      <c r="R94">
        <f t="shared" si="41"/>
        <v>-0.86750056770472306</v>
      </c>
      <c r="S94">
        <f t="shared" si="42"/>
        <v>4.7397884877128522</v>
      </c>
      <c r="T94">
        <f t="shared" si="43"/>
        <v>3.6259396543400624</v>
      </c>
      <c r="U94">
        <f t="shared" si="44"/>
        <v>-0.12488318214669016</v>
      </c>
      <c r="V94">
        <f t="shared" si="51"/>
        <v>-2.4595898418042106</v>
      </c>
      <c r="W94">
        <f t="shared" si="45"/>
        <v>6.3044488024219811</v>
      </c>
      <c r="X94">
        <f t="shared" si="46"/>
        <v>5.0755487449388994</v>
      </c>
      <c r="Y94">
        <f t="shared" si="47"/>
        <v>2.2721258855093369</v>
      </c>
      <c r="Z94">
        <f t="shared" si="48"/>
        <v>7.6349656648177833</v>
      </c>
      <c r="AA94">
        <f t="shared" si="49"/>
        <v>11.777287732100392</v>
      </c>
      <c r="AB94">
        <f t="shared" si="50"/>
        <v>8.6326357298278733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 ht="15.75" customHeight="1">
      <c r="J95" s="10"/>
      <c r="L95" s="11"/>
      <c r="M95" s="4"/>
      <c r="N95" s="7"/>
    </row>
    <row r="96" spans="1:34" ht="15.75" customHeight="1">
      <c r="J96" s="12"/>
      <c r="M96" s="4"/>
      <c r="N96" s="7"/>
    </row>
    <row r="97" spans="10:10" ht="15.75" customHeight="1">
      <c r="J97" s="12"/>
    </row>
    <row r="98" spans="10:10" ht="15.75" customHeight="1">
      <c r="J98" s="12"/>
    </row>
    <row r="99" spans="10:10" ht="15.75" customHeight="1">
      <c r="J99" s="12"/>
    </row>
    <row r="100" spans="10:10" ht="15.75" customHeight="1">
      <c r="J100" s="12"/>
    </row>
    <row r="101" spans="10:10" ht="15.75" customHeight="1">
      <c r="J101" s="12"/>
    </row>
    <row r="102" spans="10:10" ht="15.75" customHeight="1">
      <c r="J102" s="12"/>
    </row>
    <row r="103" spans="10:10" ht="15.75" customHeight="1">
      <c r="J103" s="12"/>
    </row>
    <row r="104" spans="10:10" ht="15.75" customHeight="1">
      <c r="J104" s="12"/>
    </row>
    <row r="105" spans="10:10" ht="15.75" customHeight="1">
      <c r="J105" s="12"/>
    </row>
    <row r="106" spans="10:10" ht="15.75" customHeight="1">
      <c r="J106" s="12"/>
    </row>
    <row r="107" spans="10:10" ht="15.75" customHeight="1">
      <c r="J107" s="12"/>
    </row>
    <row r="108" spans="10:10" ht="15.75" customHeight="1">
      <c r="J108" s="12"/>
    </row>
    <row r="109" spans="10:10" ht="15.75" customHeight="1">
      <c r="J109" s="12"/>
    </row>
    <row r="110" spans="10:10" ht="15.75" customHeight="1">
      <c r="J110" s="12"/>
    </row>
    <row r="111" spans="10:10" ht="15.75" customHeight="1">
      <c r="J111" s="12"/>
    </row>
    <row r="112" spans="10:10" ht="15.75" customHeight="1">
      <c r="J112" s="12"/>
    </row>
    <row r="113" spans="10:10" ht="15.75" customHeight="1">
      <c r="J113" s="12"/>
    </row>
    <row r="114" spans="10:10" ht="15.75" customHeight="1">
      <c r="J114" s="12"/>
    </row>
    <row r="115" spans="10:10" ht="15.75" customHeight="1">
      <c r="J115" s="12"/>
    </row>
    <row r="116" spans="10:10" ht="15.75" customHeight="1">
      <c r="J116" s="12"/>
    </row>
    <row r="117" spans="10:10" ht="15.75" customHeight="1">
      <c r="J117" s="12"/>
    </row>
    <row r="118" spans="10:10" ht="15.75" customHeight="1">
      <c r="J118" s="12"/>
    </row>
    <row r="119" spans="10:10" ht="15.75" customHeight="1">
      <c r="J119" s="12"/>
    </row>
    <row r="120" spans="10:10" ht="15.75" customHeight="1">
      <c r="J120" s="12"/>
    </row>
    <row r="121" spans="10:10" ht="15.75" customHeight="1">
      <c r="J121" s="12"/>
    </row>
    <row r="122" spans="10:10" ht="15.75" customHeight="1">
      <c r="J122" s="12"/>
    </row>
    <row r="123" spans="10:10" ht="15.75" customHeight="1">
      <c r="J123" s="12"/>
    </row>
    <row r="124" spans="10:10" ht="15.75" customHeight="1">
      <c r="J124" s="12"/>
    </row>
    <row r="125" spans="10:10" ht="15.75" customHeight="1">
      <c r="J125" s="12"/>
    </row>
    <row r="126" spans="10:10" ht="15.75" customHeight="1">
      <c r="J126" s="12"/>
    </row>
    <row r="127" spans="10:10" ht="15.75" customHeight="1">
      <c r="J127" s="12"/>
    </row>
    <row r="128" spans="10:10" ht="15.75" customHeight="1">
      <c r="J128" s="12"/>
    </row>
    <row r="129" spans="10:10" ht="15.75" customHeight="1">
      <c r="J129" s="12"/>
    </row>
    <row r="130" spans="10:10" ht="15.75" customHeight="1">
      <c r="J130" s="12"/>
    </row>
    <row r="131" spans="10:10" ht="15.75" customHeight="1">
      <c r="J131" s="12"/>
    </row>
    <row r="132" spans="10:10" ht="15.75" customHeight="1">
      <c r="J132" s="12"/>
    </row>
    <row r="133" spans="10:10" ht="15.75" customHeight="1">
      <c r="J133" s="12"/>
    </row>
    <row r="134" spans="10:10" ht="15.75" customHeight="1">
      <c r="J134" s="12"/>
    </row>
    <row r="135" spans="10:10" ht="15.75" customHeight="1">
      <c r="J135" s="12"/>
    </row>
    <row r="136" spans="10:10" ht="15.75" customHeight="1">
      <c r="J136" s="12"/>
    </row>
    <row r="137" spans="10:10" ht="15.75" customHeight="1">
      <c r="J137" s="12"/>
    </row>
    <row r="138" spans="10:10" ht="15.75" customHeight="1">
      <c r="J138" s="12"/>
    </row>
    <row r="139" spans="10:10" ht="15.75" customHeight="1">
      <c r="J139" s="12"/>
    </row>
    <row r="140" spans="10:10" ht="15.75" customHeight="1">
      <c r="J140" s="12"/>
    </row>
    <row r="141" spans="10:10" ht="15.75" customHeight="1">
      <c r="J141" s="12"/>
    </row>
    <row r="142" spans="10:10" ht="15.75" customHeight="1">
      <c r="J142" s="12"/>
    </row>
    <row r="143" spans="10:10" ht="15.75" customHeight="1">
      <c r="J143" s="12"/>
    </row>
    <row r="144" spans="10:10" ht="15.75" customHeight="1">
      <c r="J144" s="12"/>
    </row>
    <row r="145" spans="10:10" ht="15.75" customHeight="1">
      <c r="J145" s="12"/>
    </row>
    <row r="146" spans="10:10" ht="15.75" customHeight="1">
      <c r="J146" s="12"/>
    </row>
    <row r="147" spans="10:10" ht="15.75" customHeight="1">
      <c r="J147" s="12"/>
    </row>
    <row r="148" spans="10:10" ht="15.75" customHeight="1">
      <c r="J148" s="12"/>
    </row>
    <row r="149" spans="10:10" ht="15.75" customHeight="1">
      <c r="J149" s="12"/>
    </row>
    <row r="150" spans="10:10" ht="15.75" customHeight="1">
      <c r="J150" s="12"/>
    </row>
    <row r="151" spans="10:10" ht="15.75" customHeight="1">
      <c r="J151" s="12"/>
    </row>
    <row r="152" spans="10:10" ht="15.75" customHeight="1">
      <c r="J152" s="12"/>
    </row>
    <row r="153" spans="10:10" ht="15.75" customHeight="1">
      <c r="J153" s="12"/>
    </row>
    <row r="154" spans="10:10" ht="15.75" customHeight="1">
      <c r="J154" s="12"/>
    </row>
    <row r="155" spans="10:10" ht="15.75" customHeight="1">
      <c r="J155" s="12"/>
    </row>
    <row r="156" spans="10:10" ht="15.75" customHeight="1">
      <c r="J156" s="12"/>
    </row>
    <row r="157" spans="10:10" ht="15.75" customHeight="1">
      <c r="J157" s="12"/>
    </row>
    <row r="158" spans="10:10" ht="15.75" customHeight="1">
      <c r="J158" s="12"/>
    </row>
    <row r="159" spans="10:10" ht="15.75" customHeight="1">
      <c r="J159" s="12"/>
    </row>
    <row r="160" spans="10:10" ht="15.75" customHeight="1">
      <c r="J160" s="12"/>
    </row>
    <row r="161" spans="10:10" ht="15.75" customHeight="1">
      <c r="J161" s="12"/>
    </row>
    <row r="162" spans="10:10" ht="15.75" customHeight="1">
      <c r="J162" s="12"/>
    </row>
    <row r="163" spans="10:10" ht="15.75" customHeight="1">
      <c r="J163" s="12"/>
    </row>
    <row r="164" spans="10:10" ht="15.75" customHeight="1">
      <c r="J164" s="12"/>
    </row>
    <row r="165" spans="10:10" ht="15.75" customHeight="1">
      <c r="J165" s="12"/>
    </row>
    <row r="166" spans="10:10" ht="15.75" customHeight="1">
      <c r="J166" s="12"/>
    </row>
    <row r="167" spans="10:10" ht="15.75" customHeight="1">
      <c r="J167" s="12"/>
    </row>
    <row r="168" spans="10:10" ht="15.75" customHeight="1">
      <c r="J168" s="12"/>
    </row>
    <row r="169" spans="10:10" ht="15.75" customHeight="1">
      <c r="J169" s="12"/>
    </row>
    <row r="170" spans="10:10" ht="15.75" customHeight="1">
      <c r="J170" s="12"/>
    </row>
    <row r="171" spans="10:10" ht="15.75" customHeight="1">
      <c r="J171" s="12"/>
    </row>
    <row r="172" spans="10:10" ht="15.75" customHeight="1">
      <c r="J172" s="12"/>
    </row>
    <row r="173" spans="10:10" ht="15.75" customHeight="1">
      <c r="J173" s="12"/>
    </row>
    <row r="174" spans="10:10" ht="15.75" customHeight="1">
      <c r="J174" s="12"/>
    </row>
    <row r="175" spans="10:10" ht="15.75" customHeight="1">
      <c r="J175" s="12"/>
    </row>
    <row r="176" spans="10:10" ht="15.75" customHeight="1">
      <c r="J176" s="12"/>
    </row>
    <row r="177" spans="10:10" ht="15.75" customHeight="1">
      <c r="J177" s="12"/>
    </row>
    <row r="178" spans="10:10" ht="15.75" customHeight="1">
      <c r="J178" s="12"/>
    </row>
    <row r="179" spans="10:10" ht="15.75" customHeight="1">
      <c r="J179" s="12"/>
    </row>
    <row r="180" spans="10:10" ht="15.75" customHeight="1">
      <c r="J180" s="12"/>
    </row>
    <row r="181" spans="10:10" ht="15.75" customHeight="1">
      <c r="J181" s="12"/>
    </row>
    <row r="182" spans="10:10" ht="15.75" customHeight="1">
      <c r="J182" s="12"/>
    </row>
    <row r="183" spans="10:10" ht="15.75" customHeight="1">
      <c r="J183" s="12"/>
    </row>
    <row r="184" spans="10:10" ht="15.75" customHeight="1">
      <c r="J184" s="12"/>
    </row>
    <row r="185" spans="10:10" ht="15.75" customHeight="1">
      <c r="J185" s="12"/>
    </row>
    <row r="186" spans="10:10" ht="15.75" customHeight="1">
      <c r="J186" s="12"/>
    </row>
    <row r="187" spans="10:10" ht="15.75" customHeight="1">
      <c r="J187" s="12"/>
    </row>
    <row r="188" spans="10:10" ht="15.75" customHeight="1">
      <c r="J188" s="12"/>
    </row>
    <row r="189" spans="10:10" ht="15.75" customHeight="1">
      <c r="J189" s="12"/>
    </row>
    <row r="190" spans="10:10" ht="15.75" customHeight="1">
      <c r="J190" s="12"/>
    </row>
    <row r="191" spans="10:10" ht="15.75" customHeight="1">
      <c r="J191" s="12"/>
    </row>
    <row r="192" spans="10:10" ht="15.75" customHeight="1">
      <c r="J192" s="12"/>
    </row>
    <row r="193" spans="10:10" ht="15.75" customHeight="1">
      <c r="J193" s="12"/>
    </row>
    <row r="194" spans="10:10" ht="15.75" customHeight="1">
      <c r="J194" s="12"/>
    </row>
    <row r="195" spans="10:10" ht="15.75" customHeight="1">
      <c r="J195" s="12"/>
    </row>
    <row r="196" spans="10:10" ht="15.75" customHeight="1">
      <c r="J196" s="12"/>
    </row>
    <row r="197" spans="10:10" ht="15.75" customHeight="1">
      <c r="J197" s="12"/>
    </row>
    <row r="198" spans="10:10" ht="15.75" customHeight="1">
      <c r="J198" s="12"/>
    </row>
    <row r="199" spans="10:10" ht="15.75" customHeight="1">
      <c r="J199" s="12"/>
    </row>
    <row r="200" spans="10:10" ht="15.75" customHeight="1">
      <c r="J200" s="12"/>
    </row>
    <row r="201" spans="10:10" ht="15.75" customHeight="1">
      <c r="J201" s="12"/>
    </row>
    <row r="202" spans="10:10" ht="15.75" customHeight="1">
      <c r="J202" s="12"/>
    </row>
    <row r="203" spans="10:10" ht="15.75" customHeight="1">
      <c r="J203" s="12"/>
    </row>
    <row r="204" spans="10:10" ht="15.75" customHeight="1">
      <c r="J204" s="12"/>
    </row>
    <row r="205" spans="10:10" ht="15.75" customHeight="1">
      <c r="J205" s="12"/>
    </row>
    <row r="206" spans="10:10" ht="15.75" customHeight="1">
      <c r="J206" s="12"/>
    </row>
    <row r="207" spans="10:10" ht="15.75" customHeight="1">
      <c r="J207" s="12"/>
    </row>
    <row r="208" spans="10:10" ht="15.75" customHeight="1">
      <c r="J208" s="12"/>
    </row>
    <row r="209" spans="10:10" ht="15.75" customHeight="1">
      <c r="J209" s="12"/>
    </row>
    <row r="210" spans="10:10" ht="15.75" customHeight="1">
      <c r="J210" s="12"/>
    </row>
    <row r="211" spans="10:10" ht="15.75" customHeight="1">
      <c r="J211" s="12"/>
    </row>
    <row r="212" spans="10:10" ht="15.75" customHeight="1">
      <c r="J212" s="12"/>
    </row>
    <row r="213" spans="10:10" ht="15.75" customHeight="1">
      <c r="J213" s="12"/>
    </row>
    <row r="214" spans="10:10" ht="15.75" customHeight="1">
      <c r="J214" s="12"/>
    </row>
    <row r="215" spans="10:10" ht="15.75" customHeight="1">
      <c r="J215" s="12"/>
    </row>
    <row r="216" spans="10:10" ht="15.75" customHeight="1">
      <c r="J216" s="12"/>
    </row>
    <row r="217" spans="10:10" ht="15.75" customHeight="1">
      <c r="J217" s="12"/>
    </row>
    <row r="218" spans="10:10" ht="15.75" customHeight="1">
      <c r="J218" s="12"/>
    </row>
    <row r="219" spans="10:10" ht="15.75" customHeight="1">
      <c r="J219" s="12"/>
    </row>
    <row r="220" spans="10:10" ht="15.75" customHeight="1">
      <c r="J220" s="12"/>
    </row>
    <row r="221" spans="10:10" ht="15.75" customHeight="1">
      <c r="J221" s="12"/>
    </row>
    <row r="222" spans="10:10" ht="15.75" customHeight="1">
      <c r="J222" s="12"/>
    </row>
    <row r="223" spans="10:10" ht="15.75" customHeight="1">
      <c r="J223" s="12"/>
    </row>
    <row r="224" spans="10:10" ht="15.75" customHeight="1">
      <c r="J224" s="12"/>
    </row>
    <row r="225" spans="10:10" ht="15.75" customHeight="1">
      <c r="J225" s="12"/>
    </row>
    <row r="226" spans="10:10" ht="15.75" customHeight="1">
      <c r="J226" s="12"/>
    </row>
    <row r="227" spans="10:10" ht="15.75" customHeight="1">
      <c r="J227" s="12"/>
    </row>
    <row r="228" spans="10:10" ht="15.75" customHeight="1">
      <c r="J228" s="12"/>
    </row>
    <row r="229" spans="10:10" ht="15.75" customHeight="1">
      <c r="J229" s="12"/>
    </row>
    <row r="230" spans="10:10" ht="15.75" customHeight="1">
      <c r="J230" s="12"/>
    </row>
    <row r="231" spans="10:10" ht="15.75" customHeight="1">
      <c r="J231" s="12"/>
    </row>
    <row r="232" spans="10:10" ht="15.75" customHeight="1">
      <c r="J232" s="12"/>
    </row>
    <row r="233" spans="10:10" ht="15.75" customHeight="1">
      <c r="J233" s="12"/>
    </row>
    <row r="234" spans="10:10" ht="15.75" customHeight="1">
      <c r="J234" s="12"/>
    </row>
    <row r="235" spans="10:10" ht="15.75" customHeight="1">
      <c r="J235" s="12"/>
    </row>
    <row r="236" spans="10:10" ht="15.75" customHeight="1">
      <c r="J236" s="12"/>
    </row>
    <row r="237" spans="10:10" ht="15.75" customHeight="1">
      <c r="J237" s="12"/>
    </row>
    <row r="238" spans="10:10" ht="15.75" customHeight="1">
      <c r="J238" s="12"/>
    </row>
    <row r="239" spans="10:10" ht="15.75" customHeight="1">
      <c r="J239" s="12"/>
    </row>
    <row r="240" spans="10:10" ht="15.75" customHeight="1">
      <c r="J240" s="12"/>
    </row>
    <row r="241" spans="10:10" ht="15.75" customHeight="1">
      <c r="J241" s="12"/>
    </row>
    <row r="242" spans="10:10" ht="15.75" customHeight="1">
      <c r="J242" s="12"/>
    </row>
    <row r="243" spans="10:10" ht="15.75" customHeight="1">
      <c r="J243" s="12"/>
    </row>
    <row r="244" spans="10:10" ht="15.75" customHeight="1">
      <c r="J244" s="12"/>
    </row>
    <row r="245" spans="10:10" ht="15.75" customHeight="1">
      <c r="J245" s="12"/>
    </row>
    <row r="246" spans="10:10" ht="15.75" customHeight="1">
      <c r="J246" s="12"/>
    </row>
    <row r="247" spans="10:10" ht="15.75" customHeight="1">
      <c r="J247" s="12"/>
    </row>
    <row r="248" spans="10:10" ht="15.75" customHeight="1">
      <c r="J248" s="12"/>
    </row>
    <row r="249" spans="10:10" ht="15.75" customHeight="1">
      <c r="J249" s="12"/>
    </row>
    <row r="250" spans="10:10" ht="15.75" customHeight="1">
      <c r="J250" s="12"/>
    </row>
    <row r="251" spans="10:10" ht="15.75" customHeight="1">
      <c r="J251" s="12"/>
    </row>
    <row r="252" spans="10:10" ht="15.75" customHeight="1">
      <c r="J252" s="12"/>
    </row>
    <row r="253" spans="10:10" ht="15.75" customHeight="1">
      <c r="J253" s="12"/>
    </row>
    <row r="254" spans="10:10" ht="15.75" customHeight="1">
      <c r="J254" s="12"/>
    </row>
    <row r="255" spans="10:10" ht="15.75" customHeight="1">
      <c r="J255" s="12"/>
    </row>
    <row r="256" spans="10:10" ht="15.75" customHeight="1">
      <c r="J256" s="12"/>
    </row>
    <row r="257" spans="10:10" ht="15.75" customHeight="1">
      <c r="J257" s="12"/>
    </row>
    <row r="258" spans="10:10" ht="15.75" customHeight="1">
      <c r="J258" s="12"/>
    </row>
    <row r="259" spans="10:10" ht="15.75" customHeight="1">
      <c r="J259" s="12"/>
    </row>
    <row r="260" spans="10:10" ht="15.75" customHeight="1">
      <c r="J260" s="12"/>
    </row>
    <row r="261" spans="10:10" ht="15.75" customHeight="1">
      <c r="J261" s="12"/>
    </row>
    <row r="262" spans="10:10" ht="15.75" customHeight="1">
      <c r="J262" s="12"/>
    </row>
    <row r="263" spans="10:10" ht="15.75" customHeight="1">
      <c r="J263" s="12"/>
    </row>
    <row r="264" spans="10:10" ht="15.75" customHeight="1">
      <c r="J264" s="12"/>
    </row>
    <row r="265" spans="10:10" ht="15.75" customHeight="1">
      <c r="J265" s="4"/>
    </row>
    <row r="266" spans="10:10" ht="15.75" customHeight="1">
      <c r="J266" s="12"/>
    </row>
    <row r="267" spans="10:10" ht="15.75" customHeight="1">
      <c r="J267" s="12"/>
    </row>
    <row r="268" spans="10:10" ht="15.75" customHeight="1">
      <c r="J268" s="4"/>
    </row>
    <row r="269" spans="10:10" ht="15.75" customHeight="1">
      <c r="J269" s="12"/>
    </row>
    <row r="270" spans="10:10" ht="15.75" customHeight="1">
      <c r="J270" s="12"/>
    </row>
    <row r="271" spans="10:10" ht="15.75" customHeight="1">
      <c r="J271" s="12"/>
    </row>
    <row r="272" spans="10:10" ht="15.75" customHeight="1">
      <c r="J272" s="12"/>
    </row>
    <row r="273" spans="10:10" ht="15.75" customHeight="1">
      <c r="J273" s="12"/>
    </row>
    <row r="274" spans="10:10" ht="15.75" customHeight="1"/>
    <row r="275" spans="10:10" ht="15.75" customHeight="1"/>
    <row r="276" spans="10:10" ht="15.75" customHeight="1"/>
    <row r="277" spans="10:10" ht="15.75" customHeight="1"/>
    <row r="278" spans="10:10" ht="15.75" customHeight="1"/>
    <row r="279" spans="10:10" ht="15.75" customHeight="1"/>
    <row r="280" spans="10:10" ht="15.75" customHeight="1"/>
    <row r="281" spans="10:10" ht="15.75" customHeight="1"/>
    <row r="282" spans="10:10" ht="15.75" customHeight="1"/>
    <row r="283" spans="10:10" ht="15.75" customHeight="1"/>
    <row r="284" spans="10:10" ht="15.75" customHeight="1"/>
    <row r="285" spans="10:10" ht="15.75" customHeight="1"/>
    <row r="286" spans="10:10" ht="15.75" customHeight="1"/>
    <row r="287" spans="10:10" ht="15.75" customHeight="1"/>
    <row r="288" spans="10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8F0D-5D0A-4D9D-A87C-A122F757E8CC}">
  <dimension ref="A1:T127"/>
  <sheetViews>
    <sheetView tabSelected="1" topLeftCell="F1" zoomScaleNormal="100" workbookViewId="0">
      <pane ySplit="1" topLeftCell="A82" activePane="bottomLeft" state="frozen"/>
      <selection pane="bottomLeft" activeCell="AL111" sqref="AL111"/>
    </sheetView>
  </sheetViews>
  <sheetFormatPr defaultRowHeight="14.5"/>
  <cols>
    <col min="2" max="2" width="24.54296875" bestFit="1" customWidth="1"/>
    <col min="13" max="14" width="9.26953125" bestFit="1" customWidth="1"/>
  </cols>
  <sheetData>
    <row r="1" spans="1:20" ht="29">
      <c r="A1" s="1" t="s">
        <v>0</v>
      </c>
      <c r="B1" s="13" t="s">
        <v>14</v>
      </c>
      <c r="C1" s="13" t="s">
        <v>15</v>
      </c>
      <c r="D1" s="13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</row>
    <row r="2" spans="1:20">
      <c r="A2" s="1" t="s">
        <v>46</v>
      </c>
      <c r="B2">
        <v>4.8131865630189097</v>
      </c>
      <c r="C2">
        <v>5.8671570546473282</v>
      </c>
      <c r="D2">
        <v>-0.8891620644859024</v>
      </c>
      <c r="E2">
        <v>4.4534166307605547</v>
      </c>
      <c r="F2">
        <v>2.5626389983283526</v>
      </c>
      <c r="G2">
        <v>-0.38345902784554975</v>
      </c>
      <c r="H2">
        <v>-2.1914966228629833</v>
      </c>
      <c r="I2">
        <v>5.6797971119056898</v>
      </c>
      <c r="J2">
        <v>4.7041101338429954</v>
      </c>
      <c r="K2">
        <v>2.5726122302071057</v>
      </c>
      <c r="L2">
        <v>5.6818776392681514</v>
      </c>
      <c r="M2">
        <v>10.189079943122826</v>
      </c>
      <c r="N2">
        <v>7.07376956355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 t="s">
        <v>47</v>
      </c>
      <c r="B3">
        <v>4.7251729783827878</v>
      </c>
      <c r="C3">
        <v>5.9302094296959655</v>
      </c>
      <c r="D3">
        <v>-0.91379385167556781</v>
      </c>
      <c r="E3">
        <v>4.4628767086472081</v>
      </c>
      <c r="F3">
        <v>2.6063865473257102</v>
      </c>
      <c r="G3">
        <v>-0.39156220293917288</v>
      </c>
      <c r="H3">
        <v>-2.1764970709757692</v>
      </c>
      <c r="I3">
        <v>5.7000421550404781</v>
      </c>
      <c r="J3">
        <v>4.7033852334850463</v>
      </c>
      <c r="K3">
        <v>2.5572273113676265</v>
      </c>
      <c r="L3">
        <v>5.80302430930585</v>
      </c>
      <c r="M3">
        <v>10.128669025875903</v>
      </c>
      <c r="N3">
        <v>7.0828255721742917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>
      <c r="A4" s="1" t="s">
        <v>48</v>
      </c>
      <c r="B4">
        <v>4.6610147741708499</v>
      </c>
      <c r="C4">
        <v>5.7666737022504657</v>
      </c>
      <c r="D4">
        <v>-0.8627499649461251</v>
      </c>
      <c r="E4">
        <v>4.4680896454397239</v>
      </c>
      <c r="F4">
        <v>2.4874035299865875</v>
      </c>
      <c r="G4">
        <v>-0.39501985024662678</v>
      </c>
      <c r="H4">
        <v>-2.1558024071401833</v>
      </c>
      <c r="I4">
        <v>5.6796605325357916</v>
      </c>
      <c r="J4">
        <v>4.706914169871375</v>
      </c>
      <c r="K4">
        <v>2.5649493574615367</v>
      </c>
      <c r="L4">
        <v>5.7695702151942037</v>
      </c>
      <c r="M4">
        <v>10.360405942233209</v>
      </c>
      <c r="N4">
        <v>7.1138015480644539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>
      <c r="A5" s="1" t="s">
        <v>49</v>
      </c>
      <c r="B5">
        <v>4.6017978393468981</v>
      </c>
      <c r="C5">
        <v>5.5740154165971356</v>
      </c>
      <c r="D5">
        <v>-1.0356374895067213</v>
      </c>
      <c r="E5">
        <v>4.472819048968776</v>
      </c>
      <c r="F5">
        <v>2.5764217586237734</v>
      </c>
      <c r="G5">
        <v>-0.39868812382914059</v>
      </c>
      <c r="H5">
        <v>-2.1853359880633865</v>
      </c>
      <c r="I5">
        <v>5.6889395277864265</v>
      </c>
      <c r="J5">
        <v>4.7267681577355791</v>
      </c>
      <c r="K5">
        <v>2.5649493574615367</v>
      </c>
      <c r="L5">
        <v>5.6950780340260545</v>
      </c>
      <c r="M5">
        <v>10.417986421668415</v>
      </c>
      <c r="N5">
        <v>7.1295299250229087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>
      <c r="A6" s="1" t="s">
        <v>50</v>
      </c>
      <c r="B6">
        <v>4.5761189215944311</v>
      </c>
      <c r="C6">
        <v>5.0431883146902639</v>
      </c>
      <c r="D6">
        <v>-0.98349948156760514</v>
      </c>
      <c r="E6">
        <v>4.488524003868771</v>
      </c>
      <c r="F6">
        <v>2.503891949699081</v>
      </c>
      <c r="G6">
        <v>-0.40351700689014947</v>
      </c>
      <c r="H6">
        <v>-2.2145113896055539</v>
      </c>
      <c r="I6">
        <v>5.730878700317902</v>
      </c>
      <c r="J6">
        <v>4.7315384848028978</v>
      </c>
      <c r="K6">
        <v>2.5726122302071057</v>
      </c>
      <c r="L6">
        <v>6.1925669675453117</v>
      </c>
      <c r="M6">
        <v>10.544077482357398</v>
      </c>
      <c r="N6">
        <v>7.1661655792233407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>
      <c r="A7" s="1" t="s">
        <v>51</v>
      </c>
      <c r="B7">
        <v>4.5944462226247786</v>
      </c>
      <c r="C7">
        <v>5.0942408779510524</v>
      </c>
      <c r="D7">
        <v>-1.0671136216087387</v>
      </c>
      <c r="E7">
        <v>4.4907689256781156</v>
      </c>
      <c r="F7">
        <v>2.6173958328340792</v>
      </c>
      <c r="G7">
        <v>-0.44498586627044817</v>
      </c>
      <c r="H7">
        <v>-2.2939779952918142</v>
      </c>
      <c r="I7">
        <v>5.7809183976189509</v>
      </c>
      <c r="J7">
        <v>4.7391764658358255</v>
      </c>
      <c r="K7">
        <v>2.5726122302071057</v>
      </c>
      <c r="L7">
        <v>6.5537909437363755</v>
      </c>
      <c r="M7">
        <v>10.508650155427521</v>
      </c>
      <c r="N7">
        <v>7.1469296089275849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>
      <c r="A8" s="1" t="s">
        <v>52</v>
      </c>
      <c r="B8">
        <v>4.6000236318355476</v>
      </c>
      <c r="C8">
        <v>4.9247629045776957</v>
      </c>
      <c r="D8">
        <v>-1.1394342831883648</v>
      </c>
      <c r="E8">
        <v>4.5340321581547514</v>
      </c>
      <c r="F8">
        <v>2.5710843460290524</v>
      </c>
      <c r="G8">
        <v>-0.44863360350954312</v>
      </c>
      <c r="H8">
        <v>-2.4498723408102254</v>
      </c>
      <c r="I8">
        <v>5.8269141437991463</v>
      </c>
      <c r="J8">
        <v>4.7595208458180158</v>
      </c>
      <c r="K8">
        <v>2.5572273113676265</v>
      </c>
      <c r="L8">
        <v>6.600006544380042</v>
      </c>
      <c r="M8">
        <v>10.503669302218212</v>
      </c>
      <c r="N8">
        <v>7.1973230540680788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>
      <c r="A9" s="1" t="s">
        <v>53</v>
      </c>
      <c r="B9">
        <v>4.5904963837539601</v>
      </c>
      <c r="C9">
        <v>4.6999347624325143</v>
      </c>
      <c r="D9">
        <v>-1.0936247471570706</v>
      </c>
      <c r="E9">
        <v>4.5507140001920323</v>
      </c>
      <c r="F9">
        <v>2.4150205223238337</v>
      </c>
      <c r="G9">
        <v>-0.44005655287778339</v>
      </c>
      <c r="H9">
        <v>-2.5099347600696031</v>
      </c>
      <c r="I9">
        <v>5.8633565166706649</v>
      </c>
      <c r="J9">
        <v>4.7934738144595936</v>
      </c>
      <c r="K9">
        <v>2.5572273113676265</v>
      </c>
      <c r="L9">
        <v>6.8028391090325773</v>
      </c>
      <c r="M9">
        <v>10.702660027739377</v>
      </c>
      <c r="N9">
        <v>7.2572142847277803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>
      <c r="A10" s="1" t="s">
        <v>54</v>
      </c>
      <c r="B10">
        <v>4.5707167579183672</v>
      </c>
      <c r="C10">
        <v>4.53671284964802</v>
      </c>
      <c r="D10">
        <v>-1.1239300966523995</v>
      </c>
      <c r="E10">
        <v>4.5594054406203464</v>
      </c>
      <c r="F10">
        <v>2.6019486702196644</v>
      </c>
      <c r="G10">
        <v>-0.44207722660489646</v>
      </c>
      <c r="H10">
        <v>-2.5717688667722318</v>
      </c>
      <c r="I10">
        <v>5.9003264852366213</v>
      </c>
      <c r="J10">
        <v>4.7831489933479094</v>
      </c>
      <c r="K10">
        <v>2.5416019934645457</v>
      </c>
      <c r="L10">
        <v>6.9899802192378067</v>
      </c>
      <c r="M10">
        <v>10.732148534449308</v>
      </c>
      <c r="N10">
        <v>7.2590175907664287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>
      <c r="A11" s="1" t="s">
        <v>55</v>
      </c>
      <c r="B11">
        <v>4.526163053032664</v>
      </c>
      <c r="C11">
        <v>4.242764567340374</v>
      </c>
      <c r="D11">
        <v>-1.0384583658483626</v>
      </c>
      <c r="E11">
        <v>4.5377831672862357</v>
      </c>
      <c r="F11">
        <v>2.6741486494265287</v>
      </c>
      <c r="G11">
        <v>-0.44665175243841532</v>
      </c>
      <c r="H11">
        <v>-2.6018222575305678</v>
      </c>
      <c r="I11">
        <v>5.9733684628385717</v>
      </c>
      <c r="J11">
        <v>4.8121843553724171</v>
      </c>
      <c r="K11">
        <v>2.5572273113676265</v>
      </c>
      <c r="L11">
        <v>7.2953279342487134</v>
      </c>
      <c r="M11">
        <v>10.903972363206295</v>
      </c>
      <c r="N11">
        <v>7.3154512140018886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>
      <c r="A12" s="1" t="s">
        <v>56</v>
      </c>
      <c r="B12">
        <v>4.5035434319001624</v>
      </c>
      <c r="C12">
        <v>4.6039026830455168</v>
      </c>
      <c r="D12">
        <v>-0.94417593536369071</v>
      </c>
      <c r="E12">
        <v>4.5449954629520208</v>
      </c>
      <c r="F12">
        <v>3.0740812399649675</v>
      </c>
      <c r="G12">
        <v>-0.47117765147354684</v>
      </c>
      <c r="H12">
        <v>-2.6671874092604182</v>
      </c>
      <c r="I12">
        <v>6.0096891325652022</v>
      </c>
      <c r="J12">
        <v>4.8291134174728656</v>
      </c>
      <c r="K12">
        <v>2.5494451709255714</v>
      </c>
      <c r="L12">
        <v>7.5298896922956633</v>
      </c>
      <c r="M12">
        <v>11.009819964219377</v>
      </c>
      <c r="N12">
        <v>7.330896572103244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>
      <c r="A13" s="1" t="s">
        <v>57</v>
      </c>
      <c r="B13">
        <v>4.4582929901273314</v>
      </c>
      <c r="C13">
        <v>4.5601379868147021</v>
      </c>
      <c r="D13">
        <v>-0.93649343919167449</v>
      </c>
      <c r="E13">
        <v>4.5658401335241514</v>
      </c>
      <c r="F13">
        <v>3.0587070727153796</v>
      </c>
      <c r="G13">
        <v>-0.46251176348744</v>
      </c>
      <c r="H13">
        <v>-2.6651850594396391</v>
      </c>
      <c r="I13">
        <v>6.0304047722102183</v>
      </c>
      <c r="J13">
        <v>4.8490570984402011</v>
      </c>
      <c r="K13">
        <v>2.5416019934645457</v>
      </c>
      <c r="L13">
        <v>7.5591425252938507</v>
      </c>
      <c r="M13">
        <v>11.064855524029626</v>
      </c>
      <c r="N13">
        <v>7.2919014007416818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>
      <c r="A14" s="1" t="s">
        <v>58</v>
      </c>
      <c r="B14">
        <v>4.4538432932967478</v>
      </c>
      <c r="C14">
        <v>5.0027153472843393</v>
      </c>
      <c r="D14">
        <v>-1.0188773206492561</v>
      </c>
      <c r="E14">
        <v>4.5574844117555307</v>
      </c>
      <c r="F14">
        <v>3.2627013044082305</v>
      </c>
      <c r="G14">
        <v>-0.48277821121083569</v>
      </c>
      <c r="H14">
        <v>-2.6468986082822235</v>
      </c>
      <c r="I14">
        <v>6.0784064772417894</v>
      </c>
      <c r="J14">
        <v>4.8396887953238066</v>
      </c>
      <c r="K14">
        <v>2.5014359517392109</v>
      </c>
      <c r="L14">
        <v>7.5441204454430979</v>
      </c>
      <c r="M14">
        <v>11.018104415345954</v>
      </c>
      <c r="N14">
        <v>7.1874303441165059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>
      <c r="A15" s="1" t="s">
        <v>59</v>
      </c>
      <c r="B15">
        <v>4.4316101348631056</v>
      </c>
      <c r="C15">
        <v>4.7053168330248303</v>
      </c>
      <c r="D15">
        <v>-0.89404012293933532</v>
      </c>
      <c r="E15">
        <v>4.5662560924888655</v>
      </c>
      <c r="F15">
        <v>3.0378334495726262</v>
      </c>
      <c r="G15">
        <v>-0.50401553183744152</v>
      </c>
      <c r="H15">
        <v>-2.5731197766239893</v>
      </c>
      <c r="I15">
        <v>6.1284690681002694</v>
      </c>
      <c r="J15">
        <v>4.8713732267627483</v>
      </c>
      <c r="K15">
        <v>2.5014359517392109</v>
      </c>
      <c r="L15">
        <v>7.5050521338852478</v>
      </c>
      <c r="M15">
        <v>11.082419433618579</v>
      </c>
      <c r="N15">
        <v>7.1546153569136628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>
      <c r="A16" s="1" t="s">
        <v>60</v>
      </c>
      <c r="B16">
        <v>4.4197237518462105</v>
      </c>
      <c r="C16">
        <v>4.9341861219328491</v>
      </c>
      <c r="D16">
        <v>-1.3862943611198906</v>
      </c>
      <c r="E16">
        <v>4.6192374431995207</v>
      </c>
      <c r="F16">
        <v>3.3199873262366122</v>
      </c>
      <c r="G16">
        <v>-0.54128483125069926</v>
      </c>
      <c r="H16">
        <v>-2.5118109537761457</v>
      </c>
      <c r="I16">
        <v>6.1277348937045142</v>
      </c>
      <c r="J16">
        <v>4.8716796932070716</v>
      </c>
      <c r="K16">
        <v>2.5095992623783721</v>
      </c>
      <c r="L16">
        <v>7.5027382107548508</v>
      </c>
      <c r="M16">
        <v>10.810555888548141</v>
      </c>
      <c r="N16">
        <v>7.0616430545544402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>
      <c r="A17" s="1" t="s">
        <v>61</v>
      </c>
      <c r="B17">
        <v>4.6317796594165364</v>
      </c>
      <c r="C17">
        <v>5.8605676810686971</v>
      </c>
      <c r="D17">
        <v>-1.7778565640590638</v>
      </c>
      <c r="E17">
        <v>4.5983805216286751</v>
      </c>
      <c r="F17">
        <v>3.9458445539036568</v>
      </c>
      <c r="G17">
        <v>-0.52312315157639799</v>
      </c>
      <c r="H17">
        <v>-2.7315740053071966</v>
      </c>
      <c r="I17">
        <v>5.8840185249591341</v>
      </c>
      <c r="J17">
        <v>4.801065862809164</v>
      </c>
      <c r="K17">
        <v>2.4849066497880004</v>
      </c>
      <c r="L17">
        <v>7.4234490341449879</v>
      </c>
      <c r="M17">
        <v>10.53342865719228</v>
      </c>
      <c r="N17">
        <v>6.8059993700277497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>
      <c r="A18" s="1" t="s">
        <v>62</v>
      </c>
      <c r="B18">
        <v>4.5993868278986891</v>
      </c>
      <c r="C18">
        <v>5.8785197880918476</v>
      </c>
      <c r="D18">
        <v>-1.6245515502441485</v>
      </c>
      <c r="E18">
        <v>4.5124699306991705</v>
      </c>
      <c r="F18">
        <v>3.8091039514203047</v>
      </c>
      <c r="G18">
        <v>-0.5195861072128648</v>
      </c>
      <c r="H18">
        <v>-3.0230627096460276</v>
      </c>
      <c r="I18">
        <v>5.755446811310164</v>
      </c>
      <c r="J18">
        <v>4.8118590992303405</v>
      </c>
      <c r="K18">
        <v>2.4595888418037104</v>
      </c>
      <c r="L18">
        <v>7.2730231973388886</v>
      </c>
      <c r="M18">
        <v>10.619520836882774</v>
      </c>
      <c r="N18">
        <v>6.6819456707909985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>
      <c r="A19" s="1" t="s">
        <v>63</v>
      </c>
      <c r="B19">
        <v>4.5096499841306787</v>
      </c>
      <c r="C19">
        <v>5.4348859547211479</v>
      </c>
      <c r="D19">
        <v>-1.2413285908697049</v>
      </c>
      <c r="E19">
        <v>4.5343184450161402</v>
      </c>
      <c r="F19">
        <v>3.420673158162812</v>
      </c>
      <c r="G19">
        <v>-0.51355155797322338</v>
      </c>
      <c r="H19">
        <v>-3.1080535219712719</v>
      </c>
      <c r="I19">
        <v>5.8337087655925934</v>
      </c>
      <c r="J19">
        <v>4.8319072728124315</v>
      </c>
      <c r="K19">
        <v>2.451005098112319</v>
      </c>
      <c r="L19">
        <v>7.1828838853622976</v>
      </c>
      <c r="M19">
        <v>10.848657243960659</v>
      </c>
      <c r="N19">
        <v>6.8236342742837257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>
      <c r="A20" s="1" t="s">
        <v>64</v>
      </c>
      <c r="B20">
        <v>4.4283136686251954</v>
      </c>
      <c r="C20">
        <v>4.9391392923911859</v>
      </c>
      <c r="D20">
        <v>-1.0384583658483626</v>
      </c>
      <c r="E20">
        <v>4.5596496706862819</v>
      </c>
      <c r="F20">
        <v>3.2523106009544382</v>
      </c>
      <c r="G20">
        <v>-0.47000362924573558</v>
      </c>
      <c r="H20">
        <v>-3.0684150306906539</v>
      </c>
      <c r="I20">
        <v>5.9178180069396831</v>
      </c>
      <c r="J20">
        <v>4.8591144864550131</v>
      </c>
      <c r="K20">
        <v>2.4595888418037104</v>
      </c>
      <c r="L20">
        <v>6.9321551658056721</v>
      </c>
      <c r="M20">
        <v>11.027085093898146</v>
      </c>
      <c r="N20">
        <v>6.9632656273373419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>
      <c r="A21" s="1" t="s">
        <v>65</v>
      </c>
      <c r="B21">
        <v>4.374876130645041</v>
      </c>
      <c r="C21">
        <v>4.8218931694993783</v>
      </c>
      <c r="D21">
        <v>-1.0051219455807707</v>
      </c>
      <c r="E21">
        <v>4.6120464899275238</v>
      </c>
      <c r="F21">
        <v>3.2437635403759799</v>
      </c>
      <c r="G21">
        <v>-0.45644266287303248</v>
      </c>
      <c r="H21">
        <v>-2.9890524593624481</v>
      </c>
      <c r="I21">
        <v>5.971227825606543</v>
      </c>
      <c r="J21">
        <v>4.8834077996118728</v>
      </c>
      <c r="K21">
        <v>2.4680995314716192</v>
      </c>
      <c r="L21">
        <v>6.8801785112119029</v>
      </c>
      <c r="M21">
        <v>11.135872871298742</v>
      </c>
      <c r="N21">
        <v>7.01669934407726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>
      <c r="A22" s="1" t="s">
        <v>66</v>
      </c>
      <c r="B22">
        <v>4.3814848212532462</v>
      </c>
      <c r="C22">
        <v>4.862264434436991</v>
      </c>
      <c r="D22">
        <v>-1.1301029557594806</v>
      </c>
      <c r="E22">
        <v>4.6521809902574427</v>
      </c>
      <c r="F22">
        <v>3.0238337036648657</v>
      </c>
      <c r="G22">
        <v>-0.47379748348498985</v>
      </c>
      <c r="H22">
        <v>-2.9396453276570123</v>
      </c>
      <c r="I22">
        <v>6.043535039398984</v>
      </c>
      <c r="J22">
        <v>4.9163246146250144</v>
      </c>
      <c r="K22">
        <v>2.4680995314716192</v>
      </c>
      <c r="L22">
        <v>6.7911090968628169</v>
      </c>
      <c r="M22">
        <v>11.161550735758937</v>
      </c>
      <c r="N22">
        <v>7.0642717755232978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 t="s">
        <v>67</v>
      </c>
      <c r="B23">
        <v>4.3448438435461654</v>
      </c>
      <c r="C23">
        <v>4.8756041106809125</v>
      </c>
      <c r="D23">
        <v>-1.2909841813155656</v>
      </c>
      <c r="E23">
        <v>4.6702710489818324</v>
      </c>
      <c r="F23">
        <v>3.3860837438521072</v>
      </c>
      <c r="G23">
        <v>-0.43783335314089478</v>
      </c>
      <c r="H23">
        <v>-2.8572278267646829</v>
      </c>
      <c r="I23">
        <v>6.0722454437914166</v>
      </c>
      <c r="J23">
        <v>4.9119193211570984</v>
      </c>
      <c r="K23">
        <v>2.4680995314716192</v>
      </c>
      <c r="L23">
        <v>6.8003927606536374</v>
      </c>
      <c r="M23">
        <v>11.017579412052624</v>
      </c>
      <c r="N23">
        <v>6.9380031262412221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>
      <c r="A24" s="1" t="s">
        <v>68</v>
      </c>
      <c r="B24">
        <v>4.3343670811237596</v>
      </c>
      <c r="C24">
        <v>4.8026266303663165</v>
      </c>
      <c r="D24">
        <v>-1.1394342831883648</v>
      </c>
      <c r="E24">
        <v>4.7378345361732572</v>
      </c>
      <c r="F24">
        <v>3.1954024686825586</v>
      </c>
      <c r="G24">
        <v>-0.46824517623087231</v>
      </c>
      <c r="H24">
        <v>-2.9578674701863719</v>
      </c>
      <c r="I24">
        <v>6.0810919437768067</v>
      </c>
      <c r="J24">
        <v>4.9334662313251272</v>
      </c>
      <c r="K24">
        <v>2.4765384001174837</v>
      </c>
      <c r="L24">
        <v>6.9650803456014065</v>
      </c>
      <c r="M24">
        <v>11.148074329747319</v>
      </c>
      <c r="N24">
        <v>7.0398355765526937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>
      <c r="A25" s="1" t="s">
        <v>69</v>
      </c>
      <c r="B25">
        <v>4.3159758595457589</v>
      </c>
      <c r="C25">
        <v>4.6593107729880892</v>
      </c>
      <c r="D25">
        <v>-0.8891620644859024</v>
      </c>
      <c r="E25">
        <v>4.7666368954297864</v>
      </c>
      <c r="F25">
        <v>3.0363942552728806</v>
      </c>
      <c r="G25">
        <v>-0.47320876019468389</v>
      </c>
      <c r="H25">
        <v>-2.9159729583998324</v>
      </c>
      <c r="I25">
        <v>6.1884352241181677</v>
      </c>
      <c r="J25">
        <v>4.9316642342252619</v>
      </c>
      <c r="K25">
        <v>2.4849066497880004</v>
      </c>
      <c r="L25">
        <v>7.1092256546148525</v>
      </c>
      <c r="M25">
        <v>11.146272332647454</v>
      </c>
      <c r="N25">
        <v>7.136992239432459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>
      <c r="A26" s="1" t="s">
        <v>70</v>
      </c>
      <c r="B26">
        <v>4.3068989119820422</v>
      </c>
      <c r="C26">
        <v>4.7364615716692668</v>
      </c>
      <c r="D26">
        <v>-0.85331593271276662</v>
      </c>
      <c r="E26">
        <v>4.7704586102258029</v>
      </c>
      <c r="F26">
        <v>2.919930560137709</v>
      </c>
      <c r="G26">
        <v>-0.50777472693273484</v>
      </c>
      <c r="H26">
        <v>-2.8612193801930306</v>
      </c>
      <c r="I26">
        <v>6.304180637279404</v>
      </c>
      <c r="J26">
        <v>4.9492562210864106</v>
      </c>
      <c r="K26">
        <v>2.4765384001174837</v>
      </c>
      <c r="L26">
        <v>7.4070142663766623</v>
      </c>
      <c r="M26">
        <v>11.135858291382576</v>
      </c>
      <c r="N26">
        <v>7.1897939242531121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>
      <c r="A27" s="1" t="s">
        <v>71</v>
      </c>
      <c r="B27">
        <v>4.2859286446285445</v>
      </c>
      <c r="C27">
        <v>4.6832417214082467</v>
      </c>
      <c r="D27">
        <v>-1.1973282616072674</v>
      </c>
      <c r="E27">
        <v>4.7786471892206448</v>
      </c>
      <c r="F27">
        <v>2.7453459858459071</v>
      </c>
      <c r="G27">
        <v>-0.49692271859699916</v>
      </c>
      <c r="H27">
        <v>-2.8146115430464809</v>
      </c>
      <c r="I27">
        <v>6.3452795720408455</v>
      </c>
      <c r="J27">
        <v>4.95477016125486</v>
      </c>
      <c r="K27">
        <v>2.4849066497880004</v>
      </c>
      <c r="L27">
        <v>7.6709880671087705</v>
      </c>
      <c r="M27">
        <v>11.041384654867141</v>
      </c>
      <c r="N27">
        <v>7.1858717576561402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>
      <c r="A28" s="1" t="s">
        <v>72</v>
      </c>
      <c r="B28">
        <v>4.3099486519791341</v>
      </c>
      <c r="C28">
        <v>4.9733487093102386</v>
      </c>
      <c r="D28">
        <v>-1.1973282616072674</v>
      </c>
      <c r="E28">
        <v>4.7951291699112577</v>
      </c>
      <c r="F28">
        <v>3.5049566159530077</v>
      </c>
      <c r="G28">
        <v>-0.52368573949559594</v>
      </c>
      <c r="H28">
        <v>-3.0814251492580866</v>
      </c>
      <c r="I28">
        <v>6.3090876303037282</v>
      </c>
      <c r="J28">
        <v>4.9528649283460435</v>
      </c>
      <c r="K28">
        <v>2.4765384001174837</v>
      </c>
      <c r="L28">
        <v>7.2399325913204695</v>
      </c>
      <c r="M28">
        <v>10.865210435808118</v>
      </c>
      <c r="N28">
        <v>7.0312287988077342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>
      <c r="A29" s="1" t="s">
        <v>73</v>
      </c>
      <c r="B29">
        <v>4.3638202327323183</v>
      </c>
      <c r="C29">
        <v>5.0977501657301305</v>
      </c>
      <c r="D29">
        <v>-1.1583622930738837</v>
      </c>
      <c r="E29">
        <v>4.7750535976614117</v>
      </c>
      <c r="F29">
        <v>3.2976870052924907</v>
      </c>
      <c r="G29">
        <v>-0.50661229011312259</v>
      </c>
      <c r="H29">
        <v>-3.3046625454638594</v>
      </c>
      <c r="I29">
        <v>6.2171315784332508</v>
      </c>
      <c r="J29">
        <v>4.9478374792722155</v>
      </c>
      <c r="K29">
        <v>2.4849066497880004</v>
      </c>
      <c r="L29">
        <v>7.0516824477887798</v>
      </c>
      <c r="M29">
        <v>10.946481417441225</v>
      </c>
      <c r="N29">
        <v>7.1369604022617246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>
      <c r="A30" s="1" t="s">
        <v>74</v>
      </c>
      <c r="B30">
        <v>4.3446708481305452</v>
      </c>
      <c r="C30">
        <v>4.9386142709538818</v>
      </c>
      <c r="D30">
        <v>-1.0498221244986778</v>
      </c>
      <c r="E30">
        <v>4.7200750094888324</v>
      </c>
      <c r="F30">
        <v>2.8786365016777435</v>
      </c>
      <c r="G30">
        <v>-0.50738709783354952</v>
      </c>
      <c r="H30">
        <v>-3.4905333038220512</v>
      </c>
      <c r="I30">
        <v>6.2042007965069832</v>
      </c>
      <c r="J30">
        <v>4.9424278283831402</v>
      </c>
      <c r="K30">
        <v>2.4765384001174837</v>
      </c>
      <c r="L30">
        <v>7.0779199055054605</v>
      </c>
      <c r="M30">
        <v>11.07459103087878</v>
      </c>
      <c r="N30">
        <v>7.250259267034572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>
      <c r="A31" s="1" t="s">
        <v>75</v>
      </c>
      <c r="B31">
        <v>4.4372642234280528</v>
      </c>
      <c r="C31">
        <v>4.9661259541102982</v>
      </c>
      <c r="D31">
        <v>-1.2310014767138553</v>
      </c>
      <c r="E31">
        <v>4.7299509028853972</v>
      </c>
      <c r="F31">
        <v>2.9668182633893485</v>
      </c>
      <c r="G31">
        <v>-0.48380509955941647</v>
      </c>
      <c r="H31">
        <v>-4.0142133943453144</v>
      </c>
      <c r="I31">
        <v>6.1882093645676264</v>
      </c>
      <c r="J31">
        <v>4.9664743983104858</v>
      </c>
      <c r="K31">
        <v>2.4765384001174837</v>
      </c>
      <c r="L31">
        <v>7.0167890400062598</v>
      </c>
      <c r="M31">
        <v>10.903291884638101</v>
      </c>
      <c r="N31">
        <v>7.2168269792046589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>
      <c r="A32" s="1" t="s">
        <v>76</v>
      </c>
      <c r="B32">
        <v>4.463760219700168</v>
      </c>
      <c r="C32">
        <v>4.8588561333267473</v>
      </c>
      <c r="D32">
        <v>-1.1679623668029029</v>
      </c>
      <c r="E32">
        <v>4.7340909660549304</v>
      </c>
      <c r="F32">
        <v>2.8553201198372458</v>
      </c>
      <c r="G32">
        <v>-0.51868979882279254</v>
      </c>
      <c r="H32">
        <v>-4.2201868544768324</v>
      </c>
      <c r="I32">
        <v>6.1787114544244295</v>
      </c>
      <c r="J32">
        <v>4.9676582012411155</v>
      </c>
      <c r="K32">
        <v>2.4680995314716192</v>
      </c>
      <c r="L32">
        <v>6.9657411281807899</v>
      </c>
      <c r="M32">
        <v>10.988271333267704</v>
      </c>
      <c r="N32">
        <v>7.2728635926430671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>
      <c r="A33" s="1" t="s">
        <v>77</v>
      </c>
      <c r="B33">
        <v>4.4766926676658683</v>
      </c>
      <c r="C33">
        <v>4.6828411602472402</v>
      </c>
      <c r="D33">
        <v>-1.1301029557594806</v>
      </c>
      <c r="E33">
        <v>4.712648457616913</v>
      </c>
      <c r="F33">
        <v>2.8622008809294686</v>
      </c>
      <c r="G33">
        <v>-0.49977578757940677</v>
      </c>
      <c r="H33">
        <v>-4.2828142066652628</v>
      </c>
      <c r="I33">
        <v>6.1854813361712608</v>
      </c>
      <c r="J33">
        <v>4.9708544240844112</v>
      </c>
      <c r="K33">
        <v>2.4595888418037104</v>
      </c>
      <c r="L33">
        <v>6.8979069429273228</v>
      </c>
      <c r="M33">
        <v>11.017841948152846</v>
      </c>
      <c r="N33">
        <v>7.262761790846187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>
      <c r="A34" s="1" t="s">
        <v>78</v>
      </c>
      <c r="B34">
        <v>4.4329969602455561</v>
      </c>
      <c r="C34">
        <v>4.7946055462415957</v>
      </c>
      <c r="D34">
        <v>-1.0817551716016869</v>
      </c>
      <c r="E34">
        <v>4.7151599700295739</v>
      </c>
      <c r="F34">
        <v>2.6504210882655737</v>
      </c>
      <c r="G34">
        <v>-0.52475552929948865</v>
      </c>
      <c r="H34">
        <v>-3.9779532692099786</v>
      </c>
      <c r="I34">
        <v>6.1829935846528494</v>
      </c>
      <c r="J34">
        <v>4.9770095664465952</v>
      </c>
      <c r="K34">
        <v>2.4680995314716192</v>
      </c>
      <c r="L34">
        <v>6.7897597207444296</v>
      </c>
      <c r="M34">
        <v>10.939373011295933</v>
      </c>
      <c r="N34">
        <v>7.3583148043009929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</row>
    <row r="35" spans="1:20">
      <c r="A35" s="1" t="s">
        <v>79</v>
      </c>
      <c r="B35">
        <v>4.4536105908445656</v>
      </c>
      <c r="C35">
        <v>4.9375863507171411</v>
      </c>
      <c r="D35">
        <v>-1.2140231401794375</v>
      </c>
      <c r="E35">
        <v>4.6958332208853335</v>
      </c>
      <c r="F35">
        <v>2.7447035187502458</v>
      </c>
      <c r="G35">
        <v>-0.53762601171050406</v>
      </c>
      <c r="H35">
        <v>-3.6136529232572792</v>
      </c>
      <c r="I35">
        <v>6.1675584187305308</v>
      </c>
      <c r="J35">
        <v>4.9860010131378951</v>
      </c>
      <c r="K35">
        <v>2.451005098112319</v>
      </c>
      <c r="L35">
        <v>6.8053902723041091</v>
      </c>
      <c r="M35">
        <v>10.767579316866689</v>
      </c>
      <c r="N35">
        <v>7.3816762437508761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>
      <c r="A36" s="1" t="s">
        <v>80</v>
      </c>
      <c r="B36">
        <v>4.5584279234356107</v>
      </c>
      <c r="C36">
        <v>5.2256929088270354</v>
      </c>
      <c r="D36">
        <v>-1.1711829815029451</v>
      </c>
      <c r="E36">
        <v>4.6831492273046802</v>
      </c>
      <c r="F36">
        <v>2.753023566744941</v>
      </c>
      <c r="G36">
        <v>-0.54875827793464182</v>
      </c>
      <c r="H36">
        <v>-3.3878839866514245</v>
      </c>
      <c r="I36">
        <v>6.152044514700143</v>
      </c>
      <c r="J36">
        <v>4.9958600085141018</v>
      </c>
      <c r="K36">
        <v>2.451005098112319</v>
      </c>
      <c r="L36">
        <v>6.7288678189224651</v>
      </c>
      <c r="M36">
        <v>10.865477963661274</v>
      </c>
      <c r="N36">
        <v>7.4274712951311441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>
      <c r="A37" s="1" t="s">
        <v>81</v>
      </c>
      <c r="B37">
        <v>4.54347207151823</v>
      </c>
      <c r="C37">
        <v>5.2071336611254191</v>
      </c>
      <c r="D37">
        <v>-1.2275826699650698</v>
      </c>
      <c r="E37">
        <v>4.6919287532462528</v>
      </c>
      <c r="F37">
        <v>2.6188546222977394</v>
      </c>
      <c r="G37">
        <v>-0.53012171270772068</v>
      </c>
      <c r="H37">
        <v>-3.2863351048593468</v>
      </c>
      <c r="I37">
        <v>6.1369924430729244</v>
      </c>
      <c r="J37">
        <v>5.0022670444257393</v>
      </c>
      <c r="K37">
        <v>2.4595888418037104</v>
      </c>
      <c r="L37">
        <v>6.6461307408496459</v>
      </c>
      <c r="M37">
        <v>10.849472999745322</v>
      </c>
      <c r="N37">
        <v>7.5220540304992669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>
      <c r="A38" s="1" t="s">
        <v>82</v>
      </c>
      <c r="B38">
        <v>4.5432947822700038</v>
      </c>
      <c r="C38">
        <v>5.2227675092234866</v>
      </c>
      <c r="D38">
        <v>-1.1488535051048565</v>
      </c>
      <c r="E38">
        <v>4.684227793224859</v>
      </c>
      <c r="F38">
        <v>2.7363136663750693</v>
      </c>
      <c r="G38">
        <v>-0.54881598300404755</v>
      </c>
      <c r="H38">
        <v>-3.1581712150951069</v>
      </c>
      <c r="I38">
        <v>6.1405165363902325</v>
      </c>
      <c r="J38">
        <v>4.9957923472264811</v>
      </c>
      <c r="K38">
        <v>2.4336133554004498</v>
      </c>
      <c r="L38">
        <v>6.590575735741333</v>
      </c>
      <c r="M38">
        <v>10.828044028827316</v>
      </c>
      <c r="N38">
        <v>7.5349442462224676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>
      <c r="A39" s="1" t="s">
        <v>83</v>
      </c>
      <c r="B39">
        <v>4.468127875392514</v>
      </c>
      <c r="C39">
        <v>5.0029612571858033</v>
      </c>
      <c r="D39">
        <v>-1.0613165039244128</v>
      </c>
      <c r="E39">
        <v>4.671956179666136</v>
      </c>
      <c r="F39">
        <v>2.4956817229559589</v>
      </c>
      <c r="G39">
        <v>-0.54231629085736144</v>
      </c>
      <c r="H39">
        <v>-3.2125454263407041</v>
      </c>
      <c r="I39">
        <v>6.209943904628644</v>
      </c>
      <c r="J39">
        <v>4.9657773884544287</v>
      </c>
      <c r="K39">
        <v>2.4336133554004498</v>
      </c>
      <c r="L39">
        <v>6.6804781963863205</v>
      </c>
      <c r="M39">
        <v>10.881211990594375</v>
      </c>
      <c r="N39">
        <v>7.5808170823149705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>
      <c r="A40" s="1" t="s">
        <v>84</v>
      </c>
      <c r="B40">
        <v>4.4843199512826137</v>
      </c>
      <c r="C40">
        <v>4.9825101303704074</v>
      </c>
      <c r="D40">
        <v>-1.0996127890016933</v>
      </c>
      <c r="E40">
        <v>4.6640992535173789</v>
      </c>
      <c r="F40">
        <v>2.7133693625798099</v>
      </c>
      <c r="G40">
        <v>-0.54455477651011852</v>
      </c>
      <c r="H40">
        <v>-3.130996988049862</v>
      </c>
      <c r="I40">
        <v>6.1935206460917058</v>
      </c>
      <c r="J40">
        <v>4.9849071455235245</v>
      </c>
      <c r="K40">
        <v>2.4423470353692043</v>
      </c>
      <c r="L40">
        <v>6.6166005170513831</v>
      </c>
      <c r="M40">
        <v>10.89888516972325</v>
      </c>
      <c r="N40">
        <v>7.5869506029796785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>
      <c r="A41" s="1" t="s">
        <v>85</v>
      </c>
      <c r="B41">
        <v>4.5521209648979246</v>
      </c>
      <c r="C41">
        <v>5.1530603538908979</v>
      </c>
      <c r="D41">
        <v>-1.2447947988461909</v>
      </c>
      <c r="E41">
        <v>4.627942256330285</v>
      </c>
      <c r="F41">
        <v>2.7421295147550726</v>
      </c>
      <c r="G41">
        <v>-0.52267330901370601</v>
      </c>
      <c r="H41">
        <v>-3.019219086636018</v>
      </c>
      <c r="I41">
        <v>6.1362717119320864</v>
      </c>
      <c r="J41">
        <v>4.9852491077058403</v>
      </c>
      <c r="K41">
        <v>2.4336133554004498</v>
      </c>
      <c r="L41">
        <v>6.5763302835824371</v>
      </c>
      <c r="M41">
        <v>10.819918274611197</v>
      </c>
      <c r="N41">
        <v>7.6299270911514236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>
      <c r="A42" s="1" t="s">
        <v>86</v>
      </c>
      <c r="B42">
        <v>4.6019650550391429</v>
      </c>
      <c r="C42">
        <v>5.4998981023432982</v>
      </c>
      <c r="D42">
        <v>-1.3664917338237108</v>
      </c>
      <c r="E42">
        <v>4.5797839995976748</v>
      </c>
      <c r="F42">
        <v>2.8051769118329331</v>
      </c>
      <c r="G42">
        <v>-0.48288625507674926</v>
      </c>
      <c r="H42">
        <v>-2.9543715726304307</v>
      </c>
      <c r="I42">
        <v>6.0581492011539639</v>
      </c>
      <c r="J42">
        <v>4.9672405484437316</v>
      </c>
      <c r="K42">
        <v>2.4336133554004498</v>
      </c>
      <c r="L42">
        <v>6.4461958965190647</v>
      </c>
      <c r="M42">
        <v>10.842517771379773</v>
      </c>
      <c r="N42">
        <v>7.6342839907766624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 t="s">
        <v>87</v>
      </c>
      <c r="B43">
        <v>4.6473991902026057</v>
      </c>
      <c r="C43">
        <v>5.4940580658888356</v>
      </c>
      <c r="D43">
        <v>-1.1973282616072674</v>
      </c>
      <c r="E43">
        <v>4.534568878804544</v>
      </c>
      <c r="F43">
        <v>2.7434173449395014</v>
      </c>
      <c r="G43">
        <v>-0.43767843047281657</v>
      </c>
      <c r="H43">
        <v>-2.769731323295086</v>
      </c>
      <c r="I43">
        <v>6.0386661485922755</v>
      </c>
      <c r="J43">
        <v>4.9376344012117652</v>
      </c>
      <c r="K43">
        <v>2.4336133554004498</v>
      </c>
      <c r="L43">
        <v>6.433261584463537</v>
      </c>
      <c r="M43">
        <v>10.879574327756249</v>
      </c>
      <c r="N43">
        <v>7.6319698841248762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>
      <c r="A44" s="1" t="s">
        <v>88</v>
      </c>
      <c r="B44">
        <v>4.7747441699595434</v>
      </c>
      <c r="C44">
        <v>5.8668807196516779</v>
      </c>
      <c r="D44">
        <v>-1.5896352851379207</v>
      </c>
      <c r="E44">
        <v>4.5277850549385459</v>
      </c>
      <c r="F44">
        <v>3.0619880693310564</v>
      </c>
      <c r="G44">
        <v>-0.39101994367666915</v>
      </c>
      <c r="H44">
        <v>-2.6154818450956281</v>
      </c>
      <c r="I44">
        <v>6.0306852602612633</v>
      </c>
      <c r="J44">
        <v>4.9242782484397249</v>
      </c>
      <c r="K44">
        <v>2.4336133554004498</v>
      </c>
      <c r="L44">
        <v>6.4732732218034803</v>
      </c>
      <c r="M44">
        <v>10.71572802110793</v>
      </c>
      <c r="N44">
        <v>7.5600961051583084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</row>
    <row r="45" spans="1:20">
      <c r="A45" s="1" t="s">
        <v>89</v>
      </c>
      <c r="B45">
        <v>4.8190442412978403</v>
      </c>
      <c r="C45">
        <v>6.0935697700451357</v>
      </c>
      <c r="D45">
        <v>-1.5654210270173261</v>
      </c>
      <c r="E45">
        <v>4.5088061177050074</v>
      </c>
      <c r="F45">
        <v>2.8015405441895487</v>
      </c>
      <c r="G45">
        <v>-0.36192680609368139</v>
      </c>
      <c r="H45">
        <v>-2.6805086026926448</v>
      </c>
      <c r="I45">
        <v>5.9822556080226716</v>
      </c>
      <c r="J45">
        <v>4.9152984472697021</v>
      </c>
      <c r="K45">
        <v>2.4069451083182885</v>
      </c>
      <c r="L45">
        <v>6.5114481086587386</v>
      </c>
      <c r="M45">
        <v>10.677061982208688</v>
      </c>
      <c r="N45">
        <v>7.6226345680182552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>
      <c r="A46" s="1" t="s">
        <v>90</v>
      </c>
      <c r="B46">
        <v>4.7743783591950004</v>
      </c>
      <c r="C46">
        <v>6.1166276165325737</v>
      </c>
      <c r="D46">
        <v>-1.3470736479666092</v>
      </c>
      <c r="E46">
        <v>4.4788886400768089</v>
      </c>
      <c r="F46">
        <v>2.8903717578961645</v>
      </c>
      <c r="G46">
        <v>-0.33491345215721963</v>
      </c>
      <c r="H46">
        <v>-2.9055549330782076</v>
      </c>
      <c r="I46">
        <v>5.9410480611939649</v>
      </c>
      <c r="J46">
        <v>4.901712886872069</v>
      </c>
      <c r="K46">
        <v>2.3978952727983707</v>
      </c>
      <c r="L46">
        <v>6.5649832402123964</v>
      </c>
      <c r="M46">
        <v>10.820877679853584</v>
      </c>
      <c r="N46">
        <v>7.6303350354845954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>
      <c r="A47" s="1" t="s">
        <v>91</v>
      </c>
      <c r="B47">
        <v>4.6807413728351657</v>
      </c>
      <c r="C47">
        <v>5.8464387750577247</v>
      </c>
      <c r="D47">
        <v>-1.1647520911726548</v>
      </c>
      <c r="E47">
        <v>4.5490582831879234</v>
      </c>
      <c r="F47">
        <v>2.7107133185216936</v>
      </c>
      <c r="G47">
        <v>-0.3262381176568625</v>
      </c>
      <c r="H47">
        <v>-2.8265615219650484</v>
      </c>
      <c r="I47">
        <v>6.0071738408131612</v>
      </c>
      <c r="J47">
        <v>4.9024559945825672</v>
      </c>
      <c r="K47">
        <v>2.388762789235098</v>
      </c>
      <c r="L47">
        <v>6.6287025332284104</v>
      </c>
      <c r="M47">
        <v>10.849861221114018</v>
      </c>
      <c r="N47">
        <v>7.6491496703494279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>
      <c r="A48" s="1" t="s">
        <v>92</v>
      </c>
      <c r="B48">
        <v>4.5945809844341596</v>
      </c>
      <c r="C48">
        <v>5.6252200319607839</v>
      </c>
      <c r="D48">
        <v>-1.1086626245216111</v>
      </c>
      <c r="E48">
        <v>4.5930638659930425</v>
      </c>
      <c r="F48">
        <v>2.5945081597030812</v>
      </c>
      <c r="G48">
        <v>-0.31270362802685414</v>
      </c>
      <c r="H48">
        <v>-2.6987303918553396</v>
      </c>
      <c r="I48">
        <v>6.0278607622992713</v>
      </c>
      <c r="J48">
        <v>4.8951496174885554</v>
      </c>
      <c r="K48">
        <v>2.379546134130174</v>
      </c>
      <c r="L48">
        <v>6.6385677891665207</v>
      </c>
      <c r="M48">
        <v>10.974505940611799</v>
      </c>
      <c r="N48">
        <v>7.6816849025583762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>
      <c r="A49" s="1" t="s">
        <v>93</v>
      </c>
      <c r="B49">
        <v>4.5794762388959454</v>
      </c>
      <c r="C49">
        <v>5.6359792523987675</v>
      </c>
      <c r="D49">
        <v>-1.1270117631898076</v>
      </c>
      <c r="E49">
        <v>4.6217978437579408</v>
      </c>
      <c r="F49">
        <v>2.6858045921548905</v>
      </c>
      <c r="G49">
        <v>-0.28293778882847348</v>
      </c>
      <c r="H49">
        <v>-2.7498554235535333</v>
      </c>
      <c r="I49">
        <v>6.0647614761694388</v>
      </c>
      <c r="J49">
        <v>4.8868844866600805</v>
      </c>
      <c r="K49">
        <v>2.3608540011180215</v>
      </c>
      <c r="L49">
        <v>6.6401372375660976</v>
      </c>
      <c r="M49">
        <v>11.005876035732005</v>
      </c>
      <c r="N49">
        <v>7.713708721858616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>
      <c r="A50" s="1" t="s">
        <v>94</v>
      </c>
      <c r="B50">
        <v>4.5238516648105032</v>
      </c>
      <c r="C50">
        <v>5.4510384535657002</v>
      </c>
      <c r="D50">
        <v>-1.0700248318161971</v>
      </c>
      <c r="E50">
        <v>4.6614559969986828</v>
      </c>
      <c r="F50">
        <v>2.5201129055226197</v>
      </c>
      <c r="G50">
        <v>-0.24777783227257111</v>
      </c>
      <c r="H50">
        <v>-3.0079239363941324</v>
      </c>
      <c r="I50">
        <v>6.1286943006901966</v>
      </c>
      <c r="J50">
        <v>4.9071249177265912</v>
      </c>
      <c r="K50">
        <v>2.3702437414678603</v>
      </c>
      <c r="L50">
        <v>6.7167158315684592</v>
      </c>
      <c r="M50">
        <v>11.08189636473079</v>
      </c>
      <c r="N50">
        <v>7.7675687643258247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>
      <c r="A51" s="1" t="s">
        <v>95</v>
      </c>
      <c r="B51">
        <v>4.5645217875106292</v>
      </c>
      <c r="C51">
        <v>5.4438595277464659</v>
      </c>
      <c r="D51">
        <v>-1.1776554960085626</v>
      </c>
      <c r="E51">
        <v>4.6051368520991893</v>
      </c>
      <c r="F51">
        <v>2.3878449369448691</v>
      </c>
      <c r="G51">
        <v>-0.22602269206505327</v>
      </c>
      <c r="H51">
        <v>-3.2087198310730831</v>
      </c>
      <c r="I51">
        <v>6.1443143812021921</v>
      </c>
      <c r="J51">
        <v>4.9116249437631563</v>
      </c>
      <c r="K51">
        <v>2.3702437414678603</v>
      </c>
      <c r="L51">
        <v>6.8402256221885374</v>
      </c>
      <c r="M51">
        <v>11.049301442688533</v>
      </c>
      <c r="N51">
        <v>7.7929308819555079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>
      <c r="A52" s="1" t="s">
        <v>96</v>
      </c>
      <c r="B52">
        <v>4.5791683834487484</v>
      </c>
      <c r="C52">
        <v>5.2983173665480363</v>
      </c>
      <c r="D52">
        <v>-1.0584304990352777</v>
      </c>
      <c r="E52">
        <v>4.5931988142068718</v>
      </c>
      <c r="F52">
        <v>2.3513752571634776</v>
      </c>
      <c r="G52">
        <v>-0.2165404001806378</v>
      </c>
      <c r="H52">
        <v>-3.4239858984525324</v>
      </c>
      <c r="I52">
        <v>6.1015364467458806</v>
      </c>
      <c r="J52">
        <v>4.9092667997079671</v>
      </c>
      <c r="K52">
        <v>2.379546134130174</v>
      </c>
      <c r="L52">
        <v>6.905051627407822</v>
      </c>
      <c r="M52">
        <v>11.215785473743884</v>
      </c>
      <c r="N52">
        <v>7.8317602226346583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>
      <c r="A53" s="1" t="s">
        <v>97</v>
      </c>
      <c r="B53">
        <v>4.6018647289793648</v>
      </c>
      <c r="C53">
        <v>5.097832042792378</v>
      </c>
      <c r="D53">
        <v>-1.1363141558521213</v>
      </c>
      <c r="E53">
        <v>4.6107877114387943</v>
      </c>
      <c r="F53">
        <v>2.2823823856765264</v>
      </c>
      <c r="G53">
        <v>-0.19950840821677621</v>
      </c>
      <c r="H53">
        <v>-3.4101143085422843</v>
      </c>
      <c r="I53">
        <v>6.0622336179961884</v>
      </c>
      <c r="J53">
        <v>4.9270362702199417</v>
      </c>
      <c r="K53">
        <v>2.388762789235098</v>
      </c>
      <c r="L53">
        <v>6.9411900550683745</v>
      </c>
      <c r="M53">
        <v>11.243764152822445</v>
      </c>
      <c r="N53">
        <v>7.8911849382880064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>
      <c r="A54" s="1" t="s">
        <v>98</v>
      </c>
      <c r="B54">
        <v>4.6185469830330188</v>
      </c>
      <c r="C54">
        <v>5.0260708834076908</v>
      </c>
      <c r="D54">
        <v>-0.9942522733438669</v>
      </c>
      <c r="E54">
        <v>4.6178889583958664</v>
      </c>
      <c r="F54">
        <v>2.9957322735539909</v>
      </c>
      <c r="G54">
        <v>-0.19071669758233739</v>
      </c>
      <c r="H54">
        <v>-3.6524974675021755</v>
      </c>
      <c r="I54">
        <v>6.0837398232171509</v>
      </c>
      <c r="J54">
        <v>4.916690847919714</v>
      </c>
      <c r="K54">
        <v>2.3978952727983707</v>
      </c>
      <c r="L54">
        <v>7.0395727036023237</v>
      </c>
      <c r="M54">
        <v>11.35470317403958</v>
      </c>
      <c r="N54">
        <v>7.878863731681311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>
      <c r="A55" s="1" t="s">
        <v>99</v>
      </c>
      <c r="B55">
        <v>4.6927841591609996</v>
      </c>
      <c r="C55">
        <v>5.404177607322465</v>
      </c>
      <c r="D55">
        <v>-1.3394107752210402</v>
      </c>
      <c r="E55">
        <v>4.5998225796614953</v>
      </c>
      <c r="F55">
        <v>2.4849066497880004</v>
      </c>
      <c r="G55">
        <v>-0.16589717837981319</v>
      </c>
      <c r="H55">
        <v>-3.5081734244941023</v>
      </c>
      <c r="I55">
        <v>6.0920637456640971</v>
      </c>
      <c r="J55">
        <v>4.9222411433336601</v>
      </c>
      <c r="K55">
        <v>2.388762789235098</v>
      </c>
      <c r="L55">
        <v>7.3294873595541734</v>
      </c>
      <c r="M55">
        <v>11.194962863227914</v>
      </c>
      <c r="N55">
        <v>7.9077877580627716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>
      <c r="A56" s="1" t="s">
        <v>100</v>
      </c>
      <c r="B56">
        <v>4.7360814824928479</v>
      </c>
      <c r="C56">
        <v>5.5360212005996123</v>
      </c>
      <c r="D56">
        <v>-1.305636458102436</v>
      </c>
      <c r="E56">
        <v>4.6045032970003872</v>
      </c>
      <c r="F56">
        <v>3.044522437723423</v>
      </c>
      <c r="G56">
        <v>-0.169642279636882</v>
      </c>
      <c r="H56">
        <v>-3.3768233381741579</v>
      </c>
      <c r="I56">
        <v>6.0544393462693709</v>
      </c>
      <c r="J56">
        <v>4.928050469089837</v>
      </c>
      <c r="K56">
        <v>2.388762789235098</v>
      </c>
      <c r="L56">
        <v>7.5150722029368886</v>
      </c>
      <c r="M56">
        <v>11.281522901716324</v>
      </c>
      <c r="N56">
        <v>7.9772751166110121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>
      <c r="A57" s="1" t="s">
        <v>101</v>
      </c>
      <c r="B57">
        <v>4.6775838664971365</v>
      </c>
      <c r="C57">
        <v>5.2557579260422687</v>
      </c>
      <c r="D57">
        <v>-1.1056369036050742</v>
      </c>
      <c r="E57">
        <v>4.5990850423321428</v>
      </c>
      <c r="F57">
        <v>2.7725887222397811</v>
      </c>
      <c r="G57">
        <v>-0.17383764714564481</v>
      </c>
      <c r="H57">
        <v>-3.6550094649373026</v>
      </c>
      <c r="I57">
        <v>6.0274749846310138</v>
      </c>
      <c r="J57">
        <v>4.9348335806799737</v>
      </c>
      <c r="K57">
        <v>2.388762789235098</v>
      </c>
      <c r="L57">
        <v>7.5693085879509034</v>
      </c>
      <c r="M57">
        <v>11.383807177400065</v>
      </c>
      <c r="N57">
        <v>7.8267823028549337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</row>
    <row r="58" spans="1:20">
      <c r="A58" s="1" t="s">
        <v>102</v>
      </c>
      <c r="B58">
        <v>4.6683953450462621</v>
      </c>
      <c r="C58">
        <v>5.1099779386357422</v>
      </c>
      <c r="D58">
        <v>-1.0817551716016869</v>
      </c>
      <c r="E58">
        <v>4.5917133813014814</v>
      </c>
      <c r="F58">
        <v>2.5649493574615367</v>
      </c>
      <c r="G58">
        <v>-0.17217322574213989</v>
      </c>
      <c r="H58">
        <v>-3.6419039258608219</v>
      </c>
      <c r="I58">
        <v>6.0258659738253142</v>
      </c>
      <c r="J58">
        <v>4.920272854015864</v>
      </c>
      <c r="K58">
        <v>2.3702437414678603</v>
      </c>
      <c r="L58">
        <v>7.5410462923887165</v>
      </c>
      <c r="M58">
        <v>11.465991077781014</v>
      </c>
      <c r="N58">
        <v>7.9495855190973206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>
      <c r="A59" s="1" t="s">
        <v>103</v>
      </c>
      <c r="B59">
        <v>4.6924481940951521</v>
      </c>
      <c r="C59">
        <v>5.1099779386357422</v>
      </c>
      <c r="D59">
        <v>-0.99155321637470195</v>
      </c>
      <c r="E59">
        <v>4.6094277762407261</v>
      </c>
      <c r="F59">
        <v>2.5649493574615367</v>
      </c>
      <c r="G59">
        <v>-0.17082786308274114</v>
      </c>
      <c r="H59">
        <v>-3.799309732743454</v>
      </c>
      <c r="I59">
        <v>6.0418407544330472</v>
      </c>
      <c r="J59">
        <v>4.9328899454714028</v>
      </c>
      <c r="K59">
        <v>2.3608540011180215</v>
      </c>
      <c r="L59">
        <v>7.5538632615362964</v>
      </c>
      <c r="M59">
        <v>11.522549009761379</v>
      </c>
      <c r="N59">
        <v>7.986763323995044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>
      <c r="A60" s="1" t="s">
        <v>104</v>
      </c>
      <c r="B60">
        <v>4.701025671631613</v>
      </c>
      <c r="C60">
        <v>4.9199809258281251</v>
      </c>
      <c r="D60">
        <v>-1.0758728016986201</v>
      </c>
      <c r="E60">
        <v>4.6242863031803214</v>
      </c>
      <c r="F60">
        <v>2.7725887222397811</v>
      </c>
      <c r="G60">
        <v>-0.16161737523566383</v>
      </c>
      <c r="H60">
        <v>-4.1351665567423561</v>
      </c>
      <c r="I60">
        <v>5.9889614168898637</v>
      </c>
      <c r="J60">
        <v>4.9341141561885129</v>
      </c>
      <c r="K60">
        <v>2.3513752571634776</v>
      </c>
      <c r="L60">
        <v>7.5655343157042907</v>
      </c>
      <c r="M60">
        <v>11.559284103948245</v>
      </c>
      <c r="N60">
        <v>7.998584017676559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>
      <c r="A61" s="1" t="s">
        <v>105</v>
      </c>
      <c r="B61">
        <v>4.7226865194159302</v>
      </c>
      <c r="C61">
        <v>4.7874917427820458</v>
      </c>
      <c r="D61">
        <v>-0.86988435905999939</v>
      </c>
      <c r="E61">
        <v>4.6010282868207559</v>
      </c>
      <c r="F61">
        <v>2.8903717578961645</v>
      </c>
      <c r="G61">
        <v>-0.14811338546421807</v>
      </c>
      <c r="H61">
        <v>-4.6051701859880909</v>
      </c>
      <c r="I61">
        <v>5.9610053396232736</v>
      </c>
      <c r="J61">
        <v>4.9357680594167039</v>
      </c>
      <c r="K61">
        <v>2.341805806147327</v>
      </c>
      <c r="L61">
        <v>7.4906968922210568</v>
      </c>
      <c r="M61">
        <v>11.661035077093993</v>
      </c>
      <c r="N61">
        <v>8.080478882199797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 spans="1:20">
      <c r="A62" s="1" t="s">
        <v>106</v>
      </c>
      <c r="B62">
        <v>4.7938879102872836</v>
      </c>
      <c r="C62">
        <v>5.1119877883565437</v>
      </c>
      <c r="D62">
        <v>-1.4312917270506265</v>
      </c>
      <c r="E62">
        <v>4.6078333034075687</v>
      </c>
      <c r="F62">
        <v>3.2958368660043291</v>
      </c>
      <c r="G62">
        <v>-0.14676138139540487</v>
      </c>
      <c r="H62">
        <v>-5.1849886812410331</v>
      </c>
      <c r="I62">
        <v>5.9436738832716323</v>
      </c>
      <c r="J62">
        <v>4.866610947234645</v>
      </c>
      <c r="K62">
        <v>2.3223877202902252</v>
      </c>
      <c r="L62">
        <v>7.4396768110428608</v>
      </c>
      <c r="M62">
        <v>11.198488655209628</v>
      </c>
      <c r="N62">
        <v>7.8573222010185919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</row>
    <row r="63" spans="1:20">
      <c r="A63" s="1" t="s">
        <v>107</v>
      </c>
      <c r="B63">
        <v>4.9662653463603155</v>
      </c>
      <c r="C63">
        <v>5.7037824746562009</v>
      </c>
      <c r="D63">
        <v>-1.3432348716594436</v>
      </c>
      <c r="E63">
        <v>4.5711306937645668</v>
      </c>
      <c r="F63">
        <v>2.9957322735539909</v>
      </c>
      <c r="G63">
        <v>-0.12567660808800193</v>
      </c>
      <c r="H63">
        <v>-3.8835000341797062E-3</v>
      </c>
      <c r="I63">
        <v>5.8842504628008321</v>
      </c>
      <c r="J63">
        <v>4.8434781738220734</v>
      </c>
      <c r="K63">
        <v>2.2925347571405443</v>
      </c>
      <c r="L63">
        <v>7.2719121632686248</v>
      </c>
      <c r="M63">
        <v>11.462221470595523</v>
      </c>
      <c r="N63">
        <v>8.0392509470845841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>
      <c r="A64" s="1" t="s">
        <v>108</v>
      </c>
      <c r="B64">
        <v>4.9982252740195747</v>
      </c>
      <c r="C64">
        <v>5.2983173665480363</v>
      </c>
      <c r="D64">
        <v>-1.3470736479666092</v>
      </c>
      <c r="E64">
        <v>4.592253794054864</v>
      </c>
      <c r="F64">
        <v>2.8903717578961645</v>
      </c>
      <c r="G64">
        <v>-0.111676717224623</v>
      </c>
      <c r="H64">
        <v>-4.3754975431659895E-3</v>
      </c>
      <c r="I64">
        <v>5.9746574287916001</v>
      </c>
      <c r="J64">
        <v>4.9166176119901346</v>
      </c>
      <c r="K64">
        <v>2.3125354238472138</v>
      </c>
      <c r="L64">
        <v>7.1231085648212842</v>
      </c>
      <c r="M64">
        <v>11.457444467010713</v>
      </c>
      <c r="N64">
        <v>8.12058871174027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>
      <c r="A65" s="1" t="s">
        <v>109</v>
      </c>
      <c r="B65">
        <v>4.996536369716754</v>
      </c>
      <c r="C65">
        <v>5.1590552992145291</v>
      </c>
      <c r="D65">
        <v>-0.95972028980149116</v>
      </c>
      <c r="E65">
        <v>4.6780798213754062</v>
      </c>
      <c r="F65">
        <v>3.2958368660043291</v>
      </c>
      <c r="G65">
        <v>-6.1024701837774607E-2</v>
      </c>
      <c r="H65">
        <v>-1.5741933925101593E-3</v>
      </c>
      <c r="I65">
        <v>6.0935697700451357</v>
      </c>
      <c r="J65">
        <v>4.9384229599823311</v>
      </c>
      <c r="K65">
        <v>2.3125354238472138</v>
      </c>
      <c r="L65">
        <v>7.118340301048951</v>
      </c>
      <c r="M65">
        <v>11.689446900199377</v>
      </c>
      <c r="N65">
        <v>8.2311284952019079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>
      <c r="A66" s="1" t="s">
        <v>110</v>
      </c>
      <c r="B66">
        <v>5.0062925446621191</v>
      </c>
      <c r="C66">
        <v>5.2678581590633282</v>
      </c>
      <c r="D66">
        <v>-1.155182640156504</v>
      </c>
      <c r="E66">
        <v>4.7604630703941266</v>
      </c>
      <c r="F66">
        <v>3.2188758248682006</v>
      </c>
      <c r="G66">
        <v>-3.97115002362287E-2</v>
      </c>
      <c r="H66">
        <v>-6.3771270279199666</v>
      </c>
      <c r="I66">
        <v>6.2265366692874657</v>
      </c>
      <c r="J66">
        <v>4.913904105136484</v>
      </c>
      <c r="K66">
        <v>2.3125354238472138</v>
      </c>
      <c r="L66">
        <v>7.0306806258194356</v>
      </c>
      <c r="M66">
        <v>11.666796105590167</v>
      </c>
      <c r="N66">
        <v>8.2872490415061026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</row>
    <row r="67" spans="1:20">
      <c r="A67" s="1" t="s">
        <v>111</v>
      </c>
      <c r="B67">
        <v>4.969604944538264</v>
      </c>
      <c r="C67">
        <v>5.1590552992145291</v>
      </c>
      <c r="D67">
        <v>-0.91879386209227365</v>
      </c>
      <c r="E67">
        <v>4.7582917650441718</v>
      </c>
      <c r="F67">
        <v>2.8094026953624978</v>
      </c>
      <c r="G67">
        <v>-8.6211696819065445E-2</v>
      </c>
      <c r="H67">
        <v>-3.9476501830712971</v>
      </c>
      <c r="I67">
        <v>6.3315018498936908</v>
      </c>
      <c r="J67">
        <v>4.9337542497602982</v>
      </c>
      <c r="K67">
        <v>2.3125354238472138</v>
      </c>
      <c r="L67">
        <v>7.0950643772871311</v>
      </c>
      <c r="M67">
        <v>11.750382093731535</v>
      </c>
      <c r="N67">
        <v>8.3657887372570041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  <row r="68" spans="1:20">
      <c r="A68" s="1" t="s">
        <v>112</v>
      </c>
      <c r="B68">
        <v>4.9416424226093039</v>
      </c>
      <c r="C68">
        <v>5.2094861528414214</v>
      </c>
      <c r="D68">
        <v>-1.1907275775759154</v>
      </c>
      <c r="E68">
        <v>4.7621739347977563</v>
      </c>
      <c r="F68">
        <v>2.9444389791664403</v>
      </c>
      <c r="G68">
        <v>-0.10125783207422699</v>
      </c>
      <c r="H68">
        <v>-3.3242363405260273</v>
      </c>
      <c r="I68">
        <v>6.3473892096560105</v>
      </c>
      <c r="J68">
        <v>4.9310869086697879</v>
      </c>
      <c r="K68">
        <v>2.3125354238472138</v>
      </c>
      <c r="L68">
        <v>7.2236603103776575</v>
      </c>
      <c r="M68">
        <v>11.61709627320675</v>
      </c>
      <c r="N68">
        <v>8.3681222635562147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>
      <c r="A69" s="1" t="s">
        <v>113</v>
      </c>
      <c r="B69">
        <v>4.9739713097246643</v>
      </c>
      <c r="C69">
        <v>5.4510384535657002</v>
      </c>
      <c r="D69">
        <v>-1.0023934309275666</v>
      </c>
      <c r="E69">
        <v>4.6634390941120669</v>
      </c>
      <c r="F69">
        <v>2.8507065015037334</v>
      </c>
      <c r="G69">
        <v>-0.12375080743617488</v>
      </c>
      <c r="H69">
        <v>-2.7678002055079842</v>
      </c>
      <c r="I69">
        <v>6.3595738686723777</v>
      </c>
      <c r="J69">
        <v>4.9513098280114409</v>
      </c>
      <c r="K69">
        <v>2.33214389523559</v>
      </c>
      <c r="L69">
        <v>7.167809184316444</v>
      </c>
      <c r="M69">
        <v>11.560018952502311</v>
      </c>
      <c r="N69">
        <v>8.4693004613463962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1:20">
      <c r="A70" s="1" t="s">
        <v>114</v>
      </c>
      <c r="B70">
        <v>4.9023074172106273</v>
      </c>
      <c r="C70">
        <v>5.3752784076841653</v>
      </c>
      <c r="D70">
        <v>-0.66943065394262924</v>
      </c>
      <c r="E70">
        <v>4.6710515551016041</v>
      </c>
      <c r="F70">
        <v>3.202746442938317</v>
      </c>
      <c r="G70">
        <v>-0.12783337150988489</v>
      </c>
      <c r="H70">
        <v>-2.5639498571284531</v>
      </c>
      <c r="I70">
        <v>6.4520489544372257</v>
      </c>
      <c r="J70">
        <v>4.9581483050825339</v>
      </c>
      <c r="K70">
        <v>2.33214389523559</v>
      </c>
      <c r="L70">
        <v>7.1845533348318389</v>
      </c>
      <c r="M70">
        <v>11.695238688396127</v>
      </c>
      <c r="N70">
        <v>8.4185677565969232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</row>
    <row r="71" spans="1:20">
      <c r="A71" s="1" t="s">
        <v>115</v>
      </c>
      <c r="B71">
        <v>4.80352912047967</v>
      </c>
      <c r="C71">
        <v>5.521460917862246</v>
      </c>
      <c r="D71">
        <v>-0.91379385167556781</v>
      </c>
      <c r="E71">
        <v>4.6568134191399295</v>
      </c>
      <c r="F71">
        <v>3.3357695763396999</v>
      </c>
      <c r="G71">
        <v>-0.14041215371674501</v>
      </c>
      <c r="H71">
        <v>-2.5639498571284531</v>
      </c>
      <c r="I71">
        <v>6.39024066706535</v>
      </c>
      <c r="J71">
        <v>4.9652891923293785</v>
      </c>
      <c r="K71">
        <v>2.341805806147327</v>
      </c>
      <c r="L71">
        <v>7.2876974298592154</v>
      </c>
      <c r="M71">
        <v>11.498238132218351</v>
      </c>
      <c r="N71">
        <v>8.238901526175443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>
      <c r="A72" s="1" t="s">
        <v>116</v>
      </c>
      <c r="B72">
        <v>4.8659948042699899</v>
      </c>
      <c r="C72">
        <v>5.6094717951849598</v>
      </c>
      <c r="D72">
        <v>-0.92886951408101515</v>
      </c>
      <c r="E72">
        <v>4.683519152399068</v>
      </c>
      <c r="F72">
        <v>3.1000922888782338</v>
      </c>
      <c r="G72">
        <v>-0.16688137230607669</v>
      </c>
      <c r="H72">
        <v>-2.5639498571284531</v>
      </c>
      <c r="I72">
        <v>6.3261494731550991</v>
      </c>
      <c r="J72">
        <v>4.9698827416092914</v>
      </c>
      <c r="K72">
        <v>2.3223877202902252</v>
      </c>
      <c r="L72">
        <v>7.4255366553141338</v>
      </c>
      <c r="M72">
        <v>11.608571951853351</v>
      </c>
      <c r="N72">
        <v>8.1846867135807617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>
      <c r="A73" s="1" t="s">
        <v>117</v>
      </c>
      <c r="B73">
        <v>4.8520302639196169</v>
      </c>
      <c r="C73">
        <v>5.5568280616995374</v>
      </c>
      <c r="D73">
        <v>-0.8627499649461251</v>
      </c>
      <c r="E73">
        <v>4.6634390941120669</v>
      </c>
      <c r="F73">
        <v>3.0252910757955354</v>
      </c>
      <c r="G73">
        <v>-0.18104237529557432</v>
      </c>
      <c r="H73">
        <v>-2.5652494024705388</v>
      </c>
      <c r="I73">
        <v>6.3171646867472839</v>
      </c>
      <c r="J73">
        <v>4.9623549999210237</v>
      </c>
      <c r="K73">
        <v>2.341805806147327</v>
      </c>
      <c r="L73">
        <v>7.4528663807146778</v>
      </c>
      <c r="M73">
        <v>11.608517423253087</v>
      </c>
      <c r="N73">
        <v>8.253097428770598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1:20">
      <c r="A74" s="1" t="s">
        <v>118</v>
      </c>
      <c r="B74">
        <v>4.8598124043616719</v>
      </c>
      <c r="C74">
        <v>5.4161004022044201</v>
      </c>
      <c r="D74">
        <v>-0.86988435905999939</v>
      </c>
      <c r="E74">
        <v>4.6615505194241988</v>
      </c>
      <c r="F74">
        <v>3.007166651179654</v>
      </c>
      <c r="G74">
        <v>-0.20334092401803011</v>
      </c>
      <c r="H74">
        <v>-2.6408589515618868</v>
      </c>
      <c r="I74">
        <v>6.3099182782265162</v>
      </c>
      <c r="J74">
        <v>4.9938281757798748</v>
      </c>
      <c r="K74">
        <v>2.3223877202902252</v>
      </c>
      <c r="L74">
        <v>7.4433125389673114</v>
      </c>
      <c r="M74">
        <v>11.531570559839068</v>
      </c>
      <c r="N74">
        <v>8.3210104244434184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1:20">
      <c r="A75" s="1" t="s">
        <v>119</v>
      </c>
      <c r="B75">
        <v>4.7947983179644842</v>
      </c>
      <c r="C75">
        <v>5.2983173665480363</v>
      </c>
      <c r="D75">
        <v>-0.77435723598548845</v>
      </c>
      <c r="E75">
        <v>4.6821312271242199</v>
      </c>
      <c r="F75">
        <v>2.8094026953624978</v>
      </c>
      <c r="G75">
        <v>-0.1897087752279723</v>
      </c>
      <c r="H75">
        <v>-2.6592600369327779</v>
      </c>
      <c r="I75">
        <v>6.3044488024219811</v>
      </c>
      <c r="J75">
        <v>5.004415994282339</v>
      </c>
      <c r="K75">
        <v>2.3223877202902252</v>
      </c>
      <c r="L75">
        <v>7.5317667207072203</v>
      </c>
      <c r="M75">
        <v>11.679176919920019</v>
      </c>
      <c r="N75">
        <v>8.4007447384408955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>
      <c r="A76" s="1" t="s">
        <v>120</v>
      </c>
      <c r="B76">
        <v>4.7771888497861488</v>
      </c>
      <c r="C76">
        <v>5.1416635565026603</v>
      </c>
      <c r="D76">
        <v>-0.8416471888783893</v>
      </c>
      <c r="E76">
        <v>4.7032039262594569</v>
      </c>
      <c r="F76">
        <v>2.760009940032921</v>
      </c>
      <c r="G76">
        <v>-0.19212949778504024</v>
      </c>
      <c r="H76">
        <v>-2.7181005369557116</v>
      </c>
      <c r="I76">
        <v>6.3189681137464344</v>
      </c>
      <c r="J76">
        <v>5.0148928843488969</v>
      </c>
      <c r="K76">
        <v>2.33214389523559</v>
      </c>
      <c r="L76">
        <v>7.5174665013000475</v>
      </c>
      <c r="M76">
        <v>11.666204336311452</v>
      </c>
      <c r="N76">
        <v>8.3635873175823221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>
      <c r="A77" s="1" t="s">
        <v>121</v>
      </c>
      <c r="B77">
        <v>4.7742376271036298</v>
      </c>
      <c r="C77">
        <v>5.0304379213924353</v>
      </c>
      <c r="D77">
        <v>-0.80073239123988271</v>
      </c>
      <c r="E77">
        <v>4.7404001352481959</v>
      </c>
      <c r="F77">
        <v>2.5802168295923251</v>
      </c>
      <c r="G77">
        <v>-0.18368248243329607</v>
      </c>
      <c r="H77">
        <v>-2.8302178350764176</v>
      </c>
      <c r="I77">
        <v>6.2653012127377101</v>
      </c>
      <c r="J77">
        <v>5.0252611462915757</v>
      </c>
      <c r="K77">
        <v>2.33214389523559</v>
      </c>
      <c r="L77">
        <v>7.5740450053721995</v>
      </c>
      <c r="M77">
        <v>11.806974723800169</v>
      </c>
      <c r="N77">
        <v>8.4700659602132795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</row>
    <row r="78" spans="1:20">
      <c r="A78" s="1" t="s">
        <v>122</v>
      </c>
      <c r="B78">
        <v>4.7567747701199856</v>
      </c>
      <c r="C78">
        <v>4.8903491282217537</v>
      </c>
      <c r="D78">
        <v>-0.80519668436856817</v>
      </c>
      <c r="E78">
        <v>4.7378637277135569</v>
      </c>
      <c r="F78">
        <v>2.5802168295923251</v>
      </c>
      <c r="G78">
        <v>-0.16735412967216823</v>
      </c>
      <c r="H78">
        <v>-2.84662285096615</v>
      </c>
      <c r="I78">
        <v>6.2672005485413624</v>
      </c>
      <c r="J78">
        <v>5.0355230096040344</v>
      </c>
      <c r="K78">
        <v>2.3125354238472138</v>
      </c>
      <c r="L78">
        <v>7.5914580007140824</v>
      </c>
      <c r="M78">
        <v>11.760613325195436</v>
      </c>
      <c r="N78">
        <v>8.5668116025242202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>
      <c r="A79" s="1" t="s">
        <v>123</v>
      </c>
      <c r="B79">
        <v>4.8081926593060791</v>
      </c>
      <c r="C79">
        <v>4.9767337424205742</v>
      </c>
      <c r="D79">
        <v>-0.86750056770472306</v>
      </c>
      <c r="E79">
        <v>4.7126783937033769</v>
      </c>
      <c r="F79">
        <v>2.5063419305080652</v>
      </c>
      <c r="G79">
        <v>-0.13284591333342913</v>
      </c>
      <c r="H79">
        <v>-2.7257051363409306</v>
      </c>
      <c r="I79">
        <v>6.2897155709089976</v>
      </c>
      <c r="J79">
        <v>5.045680635839056</v>
      </c>
      <c r="K79">
        <v>2.3025850929940459</v>
      </c>
      <c r="L79">
        <v>7.6979384220536771</v>
      </c>
      <c r="M79">
        <v>11.72728656319647</v>
      </c>
      <c r="N79">
        <v>8.6052919733859845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</row>
    <row r="80" spans="1:20">
      <c r="A80" s="1" t="s">
        <v>124</v>
      </c>
      <c r="B80">
        <v>4.8917015966824762</v>
      </c>
      <c r="C80">
        <v>5.0434251169192468</v>
      </c>
      <c r="D80">
        <v>-0.83240924789345294</v>
      </c>
      <c r="E80">
        <v>4.7376885656882362</v>
      </c>
      <c r="F80">
        <v>3.0184717605234805</v>
      </c>
      <c r="G80">
        <v>-0.16369609267078977</v>
      </c>
      <c r="H80">
        <v>-2.6333138549881929</v>
      </c>
      <c r="I80">
        <v>6.2915691395583204</v>
      </c>
      <c r="J80">
        <v>5.0557361213413516</v>
      </c>
      <c r="K80">
        <v>2.3025850929940459</v>
      </c>
      <c r="L80">
        <v>7.72143726117082</v>
      </c>
      <c r="M80">
        <v>11.789162289737268</v>
      </c>
      <c r="N80">
        <v>8.6591232131936628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>
      <c r="A81" s="1" t="s">
        <v>125</v>
      </c>
      <c r="B81">
        <v>4.9115513358723568</v>
      </c>
      <c r="C81">
        <v>5.2832037287379885</v>
      </c>
      <c r="D81">
        <v>-0.89159811928378363</v>
      </c>
      <c r="E81">
        <v>4.7597779042145305</v>
      </c>
      <c r="F81">
        <v>2.9724636466146368</v>
      </c>
      <c r="G81">
        <v>-0.13604884446327598</v>
      </c>
      <c r="H81">
        <v>-2.512318957398338</v>
      </c>
      <c r="I81">
        <v>6.2841341610708019</v>
      </c>
      <c r="J81">
        <v>5.0656914998443341</v>
      </c>
      <c r="K81">
        <v>2.2925347571405443</v>
      </c>
      <c r="L81">
        <v>7.7218360824377106</v>
      </c>
      <c r="M81">
        <v>11.697602578593886</v>
      </c>
      <c r="N81">
        <v>8.6795891934368647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</row>
    <row r="82" spans="1:20">
      <c r="A82" s="1" t="s">
        <v>126</v>
      </c>
      <c r="B82">
        <v>4.8893712066032169</v>
      </c>
      <c r="C82">
        <v>5.2882670306945352</v>
      </c>
      <c r="D82">
        <v>-0.86750056770472306</v>
      </c>
      <c r="E82">
        <v>4.7397884877128522</v>
      </c>
      <c r="F82">
        <v>3.6259396543400624</v>
      </c>
      <c r="G82">
        <v>-0.12488318214669016</v>
      </c>
      <c r="H82">
        <v>-2.4595898418042106</v>
      </c>
      <c r="I82">
        <v>6.3044488024219811</v>
      </c>
      <c r="J82">
        <v>5.0755487449388994</v>
      </c>
      <c r="K82">
        <v>2.2721258855093369</v>
      </c>
      <c r="L82">
        <v>7.6349656648177833</v>
      </c>
      <c r="M82">
        <v>11.777287732100392</v>
      </c>
      <c r="N82">
        <f>8.63263572982787*2.5</f>
        <v>21.581589324569673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</row>
    <row r="83" spans="1:20">
      <c r="A83" s="1" t="s">
        <v>127</v>
      </c>
      <c r="B83" s="14">
        <f>Modelo!$B$2+Modelo!$B$3*B82+Modelo!$B$4*B81+Modelo!$B$5*C83+Modelo!$B$6*H81+Modelo!$B$7*E84+Modelo!$B$8*D82+Modelo!$B$9*G83+Modelo!$B$12*N83+Modelo!$B$13*M83</f>
        <v>4.8451594419851993</v>
      </c>
      <c r="C83">
        <v>5.2882670306945352</v>
      </c>
      <c r="D83">
        <v>-0.86750056770472306</v>
      </c>
      <c r="E83">
        <v>4.7397884877128522</v>
      </c>
      <c r="F83">
        <v>3.6259396543400624</v>
      </c>
      <c r="G83">
        <v>-0.12488318214669016</v>
      </c>
      <c r="H83">
        <v>-2.4595898418042106</v>
      </c>
      <c r="I83">
        <v>6.3044488024219811</v>
      </c>
      <c r="J83">
        <v>5.0755487449388994</v>
      </c>
      <c r="M83" s="14">
        <f>M82*O84</f>
        <v>12.130606364063404</v>
      </c>
      <c r="N83" s="15">
        <f>N82</f>
        <v>21.581589324569673</v>
      </c>
    </row>
    <row r="84" spans="1:20">
      <c r="A84" s="1" t="s">
        <v>128</v>
      </c>
      <c r="B84" s="14">
        <f>Modelo!$B$2+Modelo!$B$3*B83+Modelo!$B$4*B82+Modelo!$B$5*C84+Modelo!$B$6*H82+Modelo!$B$7*E85+Modelo!$B$8*D83+Modelo!$B$9*G84+Modelo!$B$12*N84+Modelo!$B$13*M84</f>
        <v>4.7809939656719003</v>
      </c>
      <c r="C84">
        <v>5.2882670306945352</v>
      </c>
      <c r="D84">
        <v>-0.86750056770472306</v>
      </c>
      <c r="E84">
        <v>4.7397884877128522</v>
      </c>
      <c r="F84">
        <v>3.6259396543400624</v>
      </c>
      <c r="G84">
        <v>-0.12488318214669016</v>
      </c>
      <c r="H84">
        <v>-2.4595898418042106</v>
      </c>
      <c r="I84">
        <v>6.3044488024219811</v>
      </c>
      <c r="J84">
        <v>5.0755487449388994</v>
      </c>
      <c r="M84" s="14">
        <f t="shared" ref="M84:M93" si="0">M83*O85</f>
        <v>12.494524554985306</v>
      </c>
      <c r="N84" s="15">
        <f t="shared" ref="N84:N93" si="1">N83</f>
        <v>21.581589324569673</v>
      </c>
      <c r="O84">
        <v>1.03</v>
      </c>
    </row>
    <row r="85" spans="1:20">
      <c r="A85" s="1" t="s">
        <v>129</v>
      </c>
      <c r="B85" s="14">
        <f>Modelo!$B$2+Modelo!$B$3*B84+Modelo!$B$4*B83+Modelo!$B$5*C85+Modelo!$B$6*H83+Modelo!$B$7*E86+Modelo!$B$8*D84+Modelo!$B$9*G85+Modelo!$B$12*N85+Modelo!$B$13*M85</f>
        <v>4.7301227787658284</v>
      </c>
      <c r="C85">
        <v>5.2882670306945352</v>
      </c>
      <c r="D85">
        <v>-0.86750056770472306</v>
      </c>
      <c r="E85">
        <v>4.7397884877128522</v>
      </c>
      <c r="F85">
        <v>3.6259396543400624</v>
      </c>
      <c r="G85">
        <v>-0.12488318214669016</v>
      </c>
      <c r="H85">
        <v>-2.4595898418042106</v>
      </c>
      <c r="I85">
        <v>6.3044488024219811</v>
      </c>
      <c r="J85">
        <v>5.0755487449388994</v>
      </c>
      <c r="M85" s="14">
        <f t="shared" si="0"/>
        <v>12.869360291634866</v>
      </c>
      <c r="N85" s="15">
        <f t="shared" si="1"/>
        <v>21.581589324569673</v>
      </c>
      <c r="O85">
        <v>1.03</v>
      </c>
    </row>
    <row r="86" spans="1:20">
      <c r="A86" s="1" t="s">
        <v>130</v>
      </c>
      <c r="B86" s="14">
        <f>Modelo!$B$2+Modelo!$B$3*B85+Modelo!$B$4*B84+Modelo!$B$5*C86+Modelo!$B$6*H84+Modelo!$B$7*E87+Modelo!$B$8*D85+Modelo!$B$9*G86+Modelo!$B$12*N86+Modelo!$B$13*M86</f>
        <v>4.6719794092341509</v>
      </c>
      <c r="C86">
        <v>5.2882670306945352</v>
      </c>
      <c r="D86">
        <v>-0.86750056770472306</v>
      </c>
      <c r="E86">
        <v>4.7397884877128522</v>
      </c>
      <c r="F86">
        <v>3.6259396543400624</v>
      </c>
      <c r="G86">
        <v>-0.12488318214669016</v>
      </c>
      <c r="H86">
        <v>-2.4595898418042106</v>
      </c>
      <c r="I86">
        <v>6.3044488024219811</v>
      </c>
      <c r="J86">
        <v>5.0755487449388994</v>
      </c>
      <c r="M86" s="14">
        <f t="shared" si="0"/>
        <v>13.255441100383912</v>
      </c>
      <c r="N86" s="15">
        <f t="shared" si="1"/>
        <v>21.581589324569673</v>
      </c>
      <c r="O86">
        <v>1.03</v>
      </c>
    </row>
    <row r="87" spans="1:20">
      <c r="A87" s="1" t="s">
        <v>131</v>
      </c>
      <c r="B87" s="14">
        <f>Modelo!$B$2+Modelo!$B$3*B86+Modelo!$B$4*B85+Modelo!$B$5*C87+Modelo!$B$6*H85+Modelo!$B$7*E88+Modelo!$B$8*D86+Modelo!$B$9*G87+Modelo!$B$12*N87+Modelo!$B$13*M87</f>
        <v>4.6161640290813004</v>
      </c>
      <c r="C87">
        <v>5.2882670306945352</v>
      </c>
      <c r="D87">
        <v>-0.86750056770472306</v>
      </c>
      <c r="E87">
        <v>4.7397884877128522</v>
      </c>
      <c r="F87">
        <v>3.6259396543400624</v>
      </c>
      <c r="G87">
        <v>-0.12488318214669016</v>
      </c>
      <c r="H87">
        <v>-2.4595898418042106</v>
      </c>
      <c r="I87">
        <v>6.3044488024219811</v>
      </c>
      <c r="J87">
        <v>5.0755487449388994</v>
      </c>
      <c r="M87" s="14">
        <f t="shared" si="0"/>
        <v>13.653104333395429</v>
      </c>
      <c r="N87" s="15">
        <f t="shared" si="1"/>
        <v>21.581589324569673</v>
      </c>
      <c r="O87">
        <v>1.03</v>
      </c>
    </row>
    <row r="88" spans="1:20">
      <c r="A88" s="1" t="s">
        <v>132</v>
      </c>
      <c r="B88" s="14">
        <f>Modelo!$B$2+Modelo!$B$3*B87+Modelo!$B$4*B86+Modelo!$B$5*C88+Modelo!$B$6*H86+Modelo!$B$7*E89+Modelo!$B$8*D87+Modelo!$B$9*G88+Modelo!$B$12*N88+Modelo!$B$13*M88</f>
        <v>4.5569596090042497</v>
      </c>
      <c r="C88">
        <v>5.2882670306945352</v>
      </c>
      <c r="D88">
        <v>-0.86750056770472306</v>
      </c>
      <c r="E88">
        <v>4.7397884877128522</v>
      </c>
      <c r="F88">
        <v>3.6259396543400624</v>
      </c>
      <c r="G88">
        <v>-0.12488318214669016</v>
      </c>
      <c r="H88">
        <v>-2.4595898418042106</v>
      </c>
      <c r="I88">
        <v>6.3044488024219811</v>
      </c>
      <c r="J88">
        <v>5.0755487449388994</v>
      </c>
      <c r="M88" s="14">
        <f t="shared" si="0"/>
        <v>14.062697463397292</v>
      </c>
      <c r="N88" s="15">
        <f t="shared" si="1"/>
        <v>21.581589324569673</v>
      </c>
      <c r="O88">
        <v>1.03</v>
      </c>
    </row>
    <row r="89" spans="1:20">
      <c r="A89" s="1" t="s">
        <v>133</v>
      </c>
      <c r="B89" s="14">
        <f>Modelo!$B$2+Modelo!$B$3*B88+Modelo!$B$4*B87+Modelo!$B$5*C89+Modelo!$B$6*H87+Modelo!$B$7*E90+Modelo!$B$8*D88+Modelo!$B$9*G89+Modelo!$B$12*N89+Modelo!$B$13*M89</f>
        <v>4.4970851781975565</v>
      </c>
      <c r="C89">
        <v>5.2882670306945352</v>
      </c>
      <c r="D89">
        <v>-0.86750056770472306</v>
      </c>
      <c r="E89">
        <v>4.7397884877128522</v>
      </c>
      <c r="F89">
        <v>3.6259396543400624</v>
      </c>
      <c r="G89">
        <v>-0.12488318214669016</v>
      </c>
      <c r="H89">
        <v>-2.4595898418042106</v>
      </c>
      <c r="I89">
        <v>6.3044488024219811</v>
      </c>
      <c r="J89">
        <v>5.0755487449388994</v>
      </c>
      <c r="M89" s="14">
        <f t="shared" si="0"/>
        <v>14.48457838729921</v>
      </c>
      <c r="N89" s="15">
        <f t="shared" si="1"/>
        <v>21.581589324569673</v>
      </c>
      <c r="O89">
        <v>1.03</v>
      </c>
    </row>
    <row r="90" spans="1:20">
      <c r="A90" s="1" t="s">
        <v>134</v>
      </c>
      <c r="B90" s="14">
        <f>Modelo!$B$2+Modelo!$B$3*B89+Modelo!$B$4*B88+Modelo!$B$5*C90+Modelo!$B$6*H88+Modelo!$B$7*E91+Modelo!$B$8*D89+Modelo!$B$9*G90+Modelo!$B$12*N90+Modelo!$B$13*M90</f>
        <v>4.4349130421340917</v>
      </c>
      <c r="C90">
        <v>5.2882670306945352</v>
      </c>
      <c r="D90">
        <v>-0.86750056770472306</v>
      </c>
      <c r="E90">
        <v>4.7397884877128522</v>
      </c>
      <c r="F90">
        <v>3.6259396543400624</v>
      </c>
      <c r="G90">
        <v>-0.12488318214669016</v>
      </c>
      <c r="H90">
        <v>-2.4595898418042106</v>
      </c>
      <c r="I90">
        <v>6.3044488024219811</v>
      </c>
      <c r="J90">
        <v>5.0755487449388994</v>
      </c>
      <c r="M90" s="14">
        <f t="shared" si="0"/>
        <v>14.919115738918187</v>
      </c>
      <c r="N90" s="15">
        <f t="shared" si="1"/>
        <v>21.581589324569673</v>
      </c>
      <c r="O90">
        <v>1.03</v>
      </c>
    </row>
    <row r="91" spans="1:20">
      <c r="A91" s="1" t="s">
        <v>135</v>
      </c>
      <c r="B91" s="14">
        <f>Modelo!$B$2+Modelo!$B$3*B90+Modelo!$B$4*B89+Modelo!$B$5*C91+Modelo!$B$6*H89+Modelo!$B$7*E92+Modelo!$B$8*D90+Modelo!$B$9*G91+Modelo!$B$12*N91+Modelo!$B$13*M91</f>
        <v>4.3711795159720763</v>
      </c>
      <c r="C91">
        <v>5.2882670306945352</v>
      </c>
      <c r="D91">
        <v>-0.86750056770472306</v>
      </c>
      <c r="E91">
        <v>4.7397884877128522</v>
      </c>
      <c r="F91">
        <v>3.6259396543400624</v>
      </c>
      <c r="G91">
        <v>-0.12488318214669016</v>
      </c>
      <c r="H91">
        <v>-2.4595898418042106</v>
      </c>
      <c r="I91">
        <v>6.3044488024219811</v>
      </c>
      <c r="J91">
        <v>5.0755487449388994</v>
      </c>
      <c r="M91" s="14">
        <f t="shared" si="0"/>
        <v>15.366689211085733</v>
      </c>
      <c r="N91" s="15">
        <f t="shared" si="1"/>
        <v>21.581589324569673</v>
      </c>
      <c r="O91">
        <v>1.03</v>
      </c>
    </row>
    <row r="92" spans="1:20">
      <c r="A92" s="1" t="s">
        <v>136</v>
      </c>
      <c r="B92" s="14">
        <f>Modelo!$B$2+Modelo!$B$3*B91+Modelo!$B$4*B90+Modelo!$B$5*C92+Modelo!$B$6*H90+Modelo!$B$7*E93+Modelo!$B$8*D91+Modelo!$B$9*G92+Modelo!$B$12*N92+Modelo!$B$13*M92</f>
        <v>4.3053891525893269</v>
      </c>
      <c r="C92">
        <v>5.2882670306945352</v>
      </c>
      <c r="D92">
        <v>-0.86750056770472306</v>
      </c>
      <c r="E92">
        <v>4.7397884877128522</v>
      </c>
      <c r="F92">
        <v>3.6259396543400624</v>
      </c>
      <c r="G92">
        <v>-0.12488318214669016</v>
      </c>
      <c r="H92">
        <v>-2.4595898418042106</v>
      </c>
      <c r="I92">
        <v>6.3044488024219811</v>
      </c>
      <c r="J92">
        <v>5.0755487449388994</v>
      </c>
      <c r="M92" s="14">
        <f t="shared" si="0"/>
        <v>15.827689887418305</v>
      </c>
      <c r="N92" s="15">
        <f t="shared" si="1"/>
        <v>21.581589324569673</v>
      </c>
      <c r="O92">
        <v>1.03</v>
      </c>
    </row>
    <row r="93" spans="1:20">
      <c r="A93" s="1" t="s">
        <v>137</v>
      </c>
      <c r="B93" s="14">
        <f>Modelo!$B$2+Modelo!$B$3*B92+Modelo!$B$4*B91+Modelo!$B$5*C93+Modelo!$B$6*H91+Modelo!$B$7*E94+Modelo!$B$8*D92+Modelo!$B$9*G93+Modelo!$B$12*N93+Modelo!$B$13*M93</f>
        <v>4.2377091655432064</v>
      </c>
      <c r="C93">
        <v>5.2882670306945352</v>
      </c>
      <c r="D93">
        <v>-0.86750056770472306</v>
      </c>
      <c r="E93">
        <v>4.7397884877128522</v>
      </c>
      <c r="F93">
        <v>3.6259396543400624</v>
      </c>
      <c r="G93">
        <v>-0.12488318214669016</v>
      </c>
      <c r="H93">
        <v>-2.4595898418042106</v>
      </c>
      <c r="I93">
        <v>6.3044488024219811</v>
      </c>
      <c r="J93">
        <v>5.0755487449388994</v>
      </c>
      <c r="M93" s="14">
        <f t="shared" si="0"/>
        <v>16.302520584040856</v>
      </c>
      <c r="N93" s="15">
        <f t="shared" si="1"/>
        <v>21.581589324569673</v>
      </c>
      <c r="O93">
        <v>1.03</v>
      </c>
    </row>
    <row r="94" spans="1:20">
      <c r="E94">
        <v>4.7397884877128522</v>
      </c>
      <c r="O94">
        <v>1.03</v>
      </c>
    </row>
    <row r="95" spans="1:20">
      <c r="A95" s="1" t="s">
        <v>123</v>
      </c>
      <c r="B95">
        <v>4.8081926593060791</v>
      </c>
      <c r="C95">
        <v>4.9767337424205742</v>
      </c>
      <c r="D95">
        <v>-0.86750056770472306</v>
      </c>
      <c r="E95">
        <v>4.7126783937033769</v>
      </c>
      <c r="F95">
        <v>2.5063419305080652</v>
      </c>
      <c r="G95">
        <v>-0.13284591333342913</v>
      </c>
      <c r="H95">
        <v>-2.7257051363409306</v>
      </c>
      <c r="I95">
        <v>6.2897155709089976</v>
      </c>
      <c r="J95">
        <v>5.045680635839056</v>
      </c>
      <c r="K95">
        <v>2.3025850929940459</v>
      </c>
      <c r="L95">
        <v>7.6979384220536771</v>
      </c>
      <c r="M95">
        <v>11.72728656319647</v>
      </c>
      <c r="N95">
        <v>8.6052919733859792</v>
      </c>
    </row>
    <row r="96" spans="1:20">
      <c r="A96" s="1" t="s">
        <v>124</v>
      </c>
      <c r="B96">
        <v>4.8917015966824762</v>
      </c>
      <c r="C96">
        <v>5.0434251169192468</v>
      </c>
      <c r="D96">
        <v>-0.83240924789345294</v>
      </c>
      <c r="E96">
        <v>4.7376885656882362</v>
      </c>
      <c r="F96">
        <v>3.0184717605234805</v>
      </c>
      <c r="G96">
        <v>-0.16369609267078977</v>
      </c>
      <c r="H96">
        <v>-2.6333138549881929</v>
      </c>
      <c r="I96">
        <v>6.2915691395583204</v>
      </c>
      <c r="J96">
        <v>5.0557361213413516</v>
      </c>
      <c r="K96">
        <v>2.3025850929940459</v>
      </c>
      <c r="L96">
        <v>7.72143726117082</v>
      </c>
      <c r="M96">
        <v>11.789162289737268</v>
      </c>
      <c r="N96">
        <v>8.6591232131936628</v>
      </c>
    </row>
    <row r="97" spans="1:15">
      <c r="A97" s="1" t="s">
        <v>125</v>
      </c>
      <c r="B97">
        <v>4.9115513358723568</v>
      </c>
      <c r="C97">
        <v>5.2832037287379885</v>
      </c>
      <c r="D97">
        <v>-0.89159811928378363</v>
      </c>
      <c r="E97">
        <v>4.7597779042145305</v>
      </c>
      <c r="F97">
        <v>2.9724636466146368</v>
      </c>
      <c r="G97">
        <v>-0.13604884446327598</v>
      </c>
      <c r="H97">
        <v>-2.512318957398338</v>
      </c>
      <c r="I97">
        <v>6.2841341610708019</v>
      </c>
      <c r="J97">
        <v>5.0656914998443341</v>
      </c>
      <c r="K97">
        <v>2.2925347571405443</v>
      </c>
      <c r="L97">
        <v>7.7218360824377106</v>
      </c>
      <c r="M97">
        <v>11.697602578593886</v>
      </c>
      <c r="N97">
        <v>8.6795891934368647</v>
      </c>
    </row>
    <row r="98" spans="1:15">
      <c r="A98" s="1" t="s">
        <v>126</v>
      </c>
      <c r="B98">
        <v>4.8893712066032169</v>
      </c>
      <c r="C98">
        <v>5.2882670306945352</v>
      </c>
      <c r="D98">
        <v>-0.86750056770472306</v>
      </c>
      <c r="E98">
        <v>4.7397884877128522</v>
      </c>
      <c r="F98">
        <v>3.6259396543400624</v>
      </c>
      <c r="G98">
        <v>-0.12488318214669016</v>
      </c>
      <c r="H98">
        <v>-2.4595898418042106</v>
      </c>
      <c r="I98">
        <v>6.3044488024219811</v>
      </c>
      <c r="J98">
        <v>5.0755487449388994</v>
      </c>
      <c r="K98">
        <v>2.2721258855093369</v>
      </c>
      <c r="L98">
        <v>7.6349656648177833</v>
      </c>
      <c r="M98">
        <v>11.777287732100392</v>
      </c>
      <c r="N98">
        <f>8.63263572982787*2.5</f>
        <v>21.581589324569673</v>
      </c>
      <c r="O98">
        <v>0.97</v>
      </c>
    </row>
    <row r="99" spans="1:15">
      <c r="A99" s="1" t="s">
        <v>127</v>
      </c>
      <c r="B99" s="14">
        <f>Modelo!$B$2+Modelo!$B$3*B98+Modelo!$B$4*B97+Modelo!$B$5*C99+Modelo!$B$6*H97+Modelo!$B$7*E100+Modelo!$B$8*D98+Modelo!$B$9*G99+Modelo!$B$12*N98+Modelo!$B$13*M99</f>
        <v>4.9329449892827286</v>
      </c>
      <c r="C99">
        <v>5.2882670306945352</v>
      </c>
      <c r="D99">
        <v>-0.86750056770472306</v>
      </c>
      <c r="E99">
        <v>4.7397884877128522</v>
      </c>
      <c r="F99">
        <v>3.6259396543400624</v>
      </c>
      <c r="G99">
        <v>-0.12488318214669016</v>
      </c>
      <c r="H99">
        <v>-2.4595898418042106</v>
      </c>
      <c r="I99">
        <v>6.3044488024219811</v>
      </c>
      <c r="J99">
        <v>5.0755487449388994</v>
      </c>
      <c r="M99">
        <f>M98*O98</f>
        <v>11.423969100137381</v>
      </c>
      <c r="N99" s="14">
        <f>N98</f>
        <v>21.581589324569673</v>
      </c>
      <c r="O99">
        <v>0.97</v>
      </c>
    </row>
    <row r="100" spans="1:15">
      <c r="A100" s="1" t="s">
        <v>128</v>
      </c>
      <c r="B100" s="14">
        <f>Modelo!$B$2+Modelo!$B$3*B99+Modelo!$B$4*B98+Modelo!$B$5*C100+Modelo!$B$6*H98+Modelo!$B$7*E101+Modelo!$B$8*D99+Modelo!$B$9*G100+Modelo!$B$12*N99+Modelo!$B$13*M100</f>
        <v>4.9483957372354519</v>
      </c>
      <c r="C100">
        <v>5.2882670306945352</v>
      </c>
      <c r="D100">
        <v>-0.86750056770472306</v>
      </c>
      <c r="E100">
        <v>4.7397884877128522</v>
      </c>
      <c r="F100">
        <v>3.6259396543400624</v>
      </c>
      <c r="G100">
        <v>-0.12488318214669016</v>
      </c>
      <c r="H100">
        <v>-2.4595898418042106</v>
      </c>
      <c r="I100">
        <v>6.3044488024219811</v>
      </c>
      <c r="J100">
        <v>5.0755487449388994</v>
      </c>
      <c r="M100">
        <f t="shared" ref="M100:M109" si="2">M99*O99</f>
        <v>11.081250027133258</v>
      </c>
      <c r="N100" s="14">
        <f t="shared" ref="N100:N109" si="3">N99</f>
        <v>21.581589324569673</v>
      </c>
      <c r="O100">
        <v>0.97</v>
      </c>
    </row>
    <row r="101" spans="1:15">
      <c r="A101" s="1" t="s">
        <v>129</v>
      </c>
      <c r="B101" s="14">
        <f>Modelo!$B$2+Modelo!$B$3*B100+Modelo!$B$4*B99+Modelo!$B$5*C101+Modelo!$B$6*H99+Modelo!$B$7*E102+Modelo!$B$8*D100+Modelo!$B$9*G101+Modelo!$B$12*N100+Modelo!$B$13*M101</f>
        <v>4.9983848914031199</v>
      </c>
      <c r="C101">
        <v>5.2882670306945352</v>
      </c>
      <c r="D101">
        <v>-0.86750056770472306</v>
      </c>
      <c r="E101">
        <v>4.7397884877128522</v>
      </c>
      <c r="F101">
        <v>3.6259396543400624</v>
      </c>
      <c r="G101">
        <v>-0.12488318214669016</v>
      </c>
      <c r="H101">
        <v>-2.4595898418042106</v>
      </c>
      <c r="I101">
        <v>6.3044488024219811</v>
      </c>
      <c r="J101">
        <v>5.0755487449388994</v>
      </c>
      <c r="M101">
        <f t="shared" si="2"/>
        <v>10.748812526319259</v>
      </c>
      <c r="N101" s="14">
        <f t="shared" si="3"/>
        <v>21.581589324569673</v>
      </c>
      <c r="O101">
        <v>0.97</v>
      </c>
    </row>
    <row r="102" spans="1:15">
      <c r="A102" s="1" t="s">
        <v>130</v>
      </c>
      <c r="B102" s="14">
        <f>Modelo!$B$2+Modelo!$B$3*B101+Modelo!$B$4*B100+Modelo!$B$5*C102+Modelo!$B$6*H100+Modelo!$B$7*E103+Modelo!$B$8*D101+Modelo!$B$9*G102+Modelo!$B$12*N101+Modelo!$B$13*M102</f>
        <v>5.0373840219747477</v>
      </c>
      <c r="C102">
        <v>5.2882670306945352</v>
      </c>
      <c r="D102">
        <v>-0.86750056770472306</v>
      </c>
      <c r="E102">
        <v>4.7397884877128522</v>
      </c>
      <c r="F102">
        <v>3.6259396543400624</v>
      </c>
      <c r="G102">
        <v>-0.12488318214669016</v>
      </c>
      <c r="H102">
        <v>-2.4595898418042106</v>
      </c>
      <c r="I102">
        <v>6.3044488024219811</v>
      </c>
      <c r="J102">
        <v>5.0755487449388994</v>
      </c>
      <c r="M102">
        <f t="shared" si="2"/>
        <v>10.426348150529682</v>
      </c>
      <c r="N102" s="14">
        <f t="shared" si="3"/>
        <v>21.581589324569673</v>
      </c>
      <c r="O102">
        <v>0.97</v>
      </c>
    </row>
    <row r="103" spans="1:15">
      <c r="A103" s="1" t="s">
        <v>131</v>
      </c>
      <c r="B103" s="14">
        <f>Modelo!$B$2+Modelo!$B$3*B102+Modelo!$B$4*B101+Modelo!$B$5*C103+Modelo!$B$6*H101+Modelo!$B$7*E104+Modelo!$B$8*D102+Modelo!$B$9*G103+Modelo!$B$12*N102+Modelo!$B$13*M103</f>
        <v>5.0842321988006933</v>
      </c>
      <c r="C103">
        <v>5.2882670306945352</v>
      </c>
      <c r="D103">
        <v>-0.86750056770472306</v>
      </c>
      <c r="E103">
        <v>4.7397884877128522</v>
      </c>
      <c r="F103">
        <v>3.6259396543400624</v>
      </c>
      <c r="G103">
        <v>-0.12488318214669016</v>
      </c>
      <c r="H103">
        <v>-2.4595898418042106</v>
      </c>
      <c r="I103">
        <v>6.3044488024219811</v>
      </c>
      <c r="J103">
        <v>5.0755487449388994</v>
      </c>
      <c r="M103">
        <f t="shared" si="2"/>
        <v>10.113557706013792</v>
      </c>
      <c r="N103" s="14">
        <f t="shared" si="3"/>
        <v>21.581589324569673</v>
      </c>
      <c r="O103">
        <v>0.97</v>
      </c>
    </row>
    <row r="104" spans="1:15">
      <c r="A104" s="1" t="s">
        <v>132</v>
      </c>
      <c r="B104" s="14">
        <f>Modelo!$B$2+Modelo!$B$3*B103+Modelo!$B$4*B102+Modelo!$B$5*C104+Modelo!$B$6*H102+Modelo!$B$7*E105+Modelo!$B$8*D103+Modelo!$B$9*G104+Modelo!$B$12*N103+Modelo!$B$13*M104</f>
        <v>5.1266296835898828</v>
      </c>
      <c r="C104">
        <v>5.2882670306945352</v>
      </c>
      <c r="D104">
        <v>-0.86750056770472306</v>
      </c>
      <c r="E104">
        <v>4.7397884877128522</v>
      </c>
      <c r="F104">
        <v>3.6259396543400624</v>
      </c>
      <c r="G104">
        <v>-0.12488318214669016</v>
      </c>
      <c r="H104">
        <v>-2.4595898418042106</v>
      </c>
      <c r="I104">
        <v>6.3044488024219811</v>
      </c>
      <c r="J104">
        <v>5.0755487449388994</v>
      </c>
      <c r="M104">
        <f t="shared" si="2"/>
        <v>9.8101509748333768</v>
      </c>
      <c r="N104" s="14">
        <f t="shared" si="3"/>
        <v>21.581589324569673</v>
      </c>
      <c r="O104">
        <v>0.97</v>
      </c>
    </row>
    <row r="105" spans="1:15">
      <c r="A105" s="1" t="s">
        <v>133</v>
      </c>
      <c r="B105" s="14">
        <f>Modelo!$B$2+Modelo!$B$3*B104+Modelo!$B$4*B103+Modelo!$B$5*C105+Modelo!$B$6*H103+Modelo!$B$7*E106+Modelo!$B$8*D104+Modelo!$B$9*G105+Modelo!$B$12*N104+Modelo!$B$13*M105</f>
        <v>5.1701350155449308</v>
      </c>
      <c r="C105">
        <v>5.2882670306945352</v>
      </c>
      <c r="D105">
        <v>-0.86750056770472306</v>
      </c>
      <c r="E105">
        <v>4.7397884877128522</v>
      </c>
      <c r="F105">
        <v>3.6259396543400624</v>
      </c>
      <c r="G105">
        <v>-0.12488318214669016</v>
      </c>
      <c r="H105">
        <v>-2.4595898418042106</v>
      </c>
      <c r="I105">
        <v>6.3044488024219811</v>
      </c>
      <c r="J105">
        <v>5.0755487449388994</v>
      </c>
      <c r="M105">
        <f t="shared" si="2"/>
        <v>9.5158464455883749</v>
      </c>
      <c r="N105" s="14">
        <f t="shared" si="3"/>
        <v>21.581589324569673</v>
      </c>
      <c r="O105">
        <v>0.97</v>
      </c>
    </row>
    <row r="106" spans="1:15">
      <c r="A106" s="1" t="s">
        <v>134</v>
      </c>
      <c r="B106" s="14">
        <f>Modelo!$B$2+Modelo!$B$3*B105+Modelo!$B$4*B104+Modelo!$B$5*C106+Modelo!$B$6*H104+Modelo!$B$7*E107+Modelo!$B$8*D105+Modelo!$B$9*G106+Modelo!$B$12*N105+Modelo!$B$13*M106</f>
        <v>5.2114058888356558</v>
      </c>
      <c r="C106">
        <v>5.2882670306945352</v>
      </c>
      <c r="D106">
        <v>-0.86750056770472306</v>
      </c>
      <c r="E106">
        <v>4.7397884877128522</v>
      </c>
      <c r="F106">
        <v>3.6259396543400624</v>
      </c>
      <c r="G106">
        <v>-0.12488318214669016</v>
      </c>
      <c r="H106">
        <v>-2.4595898418042106</v>
      </c>
      <c r="I106">
        <v>6.3044488024219811</v>
      </c>
      <c r="J106">
        <v>5.0755487449388994</v>
      </c>
      <c r="M106">
        <f t="shared" si="2"/>
        <v>9.2303710522207236</v>
      </c>
      <c r="N106" s="14">
        <f t="shared" si="3"/>
        <v>21.581589324569673</v>
      </c>
      <c r="O106">
        <v>0.97</v>
      </c>
    </row>
    <row r="107" spans="1:15">
      <c r="A107" s="1" t="s">
        <v>135</v>
      </c>
      <c r="B107" s="14">
        <f>Modelo!$B$2+Modelo!$B$3*B106+Modelo!$B$4*B105+Modelo!$B$5*C107+Modelo!$B$6*H105+Modelo!$B$7*E108+Modelo!$B$8*D106+Modelo!$B$9*G107+Modelo!$B$12*N106+Modelo!$B$13*M107</f>
        <v>5.2520782706013742</v>
      </c>
      <c r="C107">
        <v>5.2882670306945352</v>
      </c>
      <c r="D107">
        <v>-0.86750056770472306</v>
      </c>
      <c r="E107">
        <v>4.7397884877128522</v>
      </c>
      <c r="F107">
        <v>3.6259396543400624</v>
      </c>
      <c r="G107">
        <v>-0.12488318214669016</v>
      </c>
      <c r="H107">
        <v>-2.4595898418042106</v>
      </c>
      <c r="I107">
        <v>6.3044488024219811</v>
      </c>
      <c r="J107">
        <v>5.0755487449388994</v>
      </c>
      <c r="M107">
        <f t="shared" si="2"/>
        <v>8.953459920654101</v>
      </c>
      <c r="N107" s="14">
        <f t="shared" si="3"/>
        <v>21.581589324569673</v>
      </c>
      <c r="O107">
        <v>0.97</v>
      </c>
    </row>
    <row r="108" spans="1:15">
      <c r="A108" s="1" t="s">
        <v>136</v>
      </c>
      <c r="B108" s="14">
        <f>Modelo!$B$2+Modelo!$B$3*B107+Modelo!$B$4*B106+Modelo!$B$5*C108+Modelo!$B$6*H106+Modelo!$B$7*E109+Modelo!$B$8*D107+Modelo!$B$9*G108+Modelo!$B$12*N107+Modelo!$B$13*M108</f>
        <v>5.291254950320238</v>
      </c>
      <c r="C108">
        <v>5.2882670306945352</v>
      </c>
      <c r="D108">
        <v>-0.86750056770472306</v>
      </c>
      <c r="E108">
        <v>4.7397884877128522</v>
      </c>
      <c r="F108">
        <v>3.6259396543400624</v>
      </c>
      <c r="G108">
        <v>-0.12488318214669016</v>
      </c>
      <c r="H108">
        <v>-2.4595898418042106</v>
      </c>
      <c r="I108">
        <v>6.3044488024219811</v>
      </c>
      <c r="J108">
        <v>5.0755487449388994</v>
      </c>
      <c r="M108">
        <f t="shared" si="2"/>
        <v>8.6848561230344785</v>
      </c>
      <c r="N108" s="14">
        <f t="shared" si="3"/>
        <v>21.581589324569673</v>
      </c>
      <c r="O108">
        <v>0.97</v>
      </c>
    </row>
    <row r="109" spans="1:15">
      <c r="A109" s="1" t="s">
        <v>137</v>
      </c>
      <c r="B109" s="14">
        <f>Modelo!$B$2+Modelo!$B$3*B108+Modelo!$B$4*B107+Modelo!$B$5*C109+Modelo!$B$6*H107+Modelo!$B$7*E110+Modelo!$B$8*D108+Modelo!$B$9*G109+Modelo!$B$12*N108+Modelo!$B$13*M109</f>
        <v>5.3294306472081612</v>
      </c>
      <c r="C109">
        <v>5.2882670306945352</v>
      </c>
      <c r="D109">
        <v>-0.86750056770472306</v>
      </c>
      <c r="E109">
        <v>4.7397884877128522</v>
      </c>
      <c r="F109">
        <v>3.6259396543400624</v>
      </c>
      <c r="G109">
        <v>-0.12488318214669016</v>
      </c>
      <c r="H109">
        <v>-2.4595898418042106</v>
      </c>
      <c r="I109">
        <v>6.3044488024219811</v>
      </c>
      <c r="J109">
        <v>5.0755487449388994</v>
      </c>
      <c r="M109">
        <f t="shared" si="2"/>
        <v>8.4243104393434436</v>
      </c>
      <c r="N109" s="14">
        <f t="shared" si="3"/>
        <v>21.581589324569673</v>
      </c>
      <c r="O109">
        <v>0.97</v>
      </c>
    </row>
    <row r="110" spans="1:15">
      <c r="E110">
        <v>4.7397884877128522</v>
      </c>
      <c r="O110">
        <v>0.97</v>
      </c>
    </row>
    <row r="112" spans="1:15">
      <c r="A112" s="1" t="s">
        <v>123</v>
      </c>
      <c r="B112">
        <v>4.8081926593060791</v>
      </c>
      <c r="C112">
        <v>4.9767337424205742</v>
      </c>
      <c r="D112">
        <v>-0.86750056770472306</v>
      </c>
      <c r="E112">
        <v>4.7126783937033769</v>
      </c>
      <c r="F112">
        <v>2.5063419305080652</v>
      </c>
      <c r="G112">
        <v>-0.13284591333342913</v>
      </c>
      <c r="H112">
        <v>-2.7257051363409306</v>
      </c>
      <c r="I112">
        <v>6.2897155709089976</v>
      </c>
      <c r="J112">
        <v>5.045680635839056</v>
      </c>
      <c r="K112">
        <v>2.3025850929940459</v>
      </c>
      <c r="L112">
        <v>7.6979384220536771</v>
      </c>
      <c r="M112">
        <v>11.72728656319647</v>
      </c>
      <c r="N112">
        <v>8.6052919733859792</v>
      </c>
    </row>
    <row r="113" spans="1:15">
      <c r="A113" s="1" t="s">
        <v>124</v>
      </c>
      <c r="B113">
        <v>4.8917015966824762</v>
      </c>
      <c r="C113">
        <v>5.0434251169192468</v>
      </c>
      <c r="D113">
        <v>-0.83240924789345294</v>
      </c>
      <c r="E113">
        <v>4.7376885656882362</v>
      </c>
      <c r="F113">
        <v>3.0184717605234805</v>
      </c>
      <c r="G113">
        <v>-0.16369609267078977</v>
      </c>
      <c r="H113">
        <v>-2.6333138549881929</v>
      </c>
      <c r="I113">
        <v>6.2915691395583204</v>
      </c>
      <c r="J113">
        <v>5.0557361213413516</v>
      </c>
      <c r="K113">
        <v>2.3025850929940459</v>
      </c>
      <c r="L113">
        <v>7.72143726117082</v>
      </c>
      <c r="M113">
        <v>11.789162289737268</v>
      </c>
      <c r="N113">
        <v>8.6591232131936628</v>
      </c>
    </row>
    <row r="114" spans="1:15">
      <c r="A114" s="1" t="s">
        <v>125</v>
      </c>
      <c r="B114">
        <v>4.9115513358723568</v>
      </c>
      <c r="C114">
        <v>5.2832037287379885</v>
      </c>
      <c r="D114">
        <v>-0.89159811928378363</v>
      </c>
      <c r="E114">
        <v>4.7597779042145305</v>
      </c>
      <c r="F114">
        <v>2.9724636466146368</v>
      </c>
      <c r="G114">
        <v>-0.13604884446327598</v>
      </c>
      <c r="H114">
        <v>-2.512318957398338</v>
      </c>
      <c r="I114">
        <v>6.2841341610708019</v>
      </c>
      <c r="J114">
        <v>5.0656914998443341</v>
      </c>
      <c r="K114">
        <v>2.2925347571405443</v>
      </c>
      <c r="L114">
        <v>7.7218360824377106</v>
      </c>
      <c r="M114">
        <v>11.697602578593886</v>
      </c>
      <c r="N114">
        <v>8.6795891934368647</v>
      </c>
    </row>
    <row r="115" spans="1:15">
      <c r="A115" s="1" t="s">
        <v>126</v>
      </c>
      <c r="B115">
        <v>4.8893712066032169</v>
      </c>
      <c r="C115">
        <v>5.2882670306945352</v>
      </c>
      <c r="D115">
        <v>-0.86750056770472306</v>
      </c>
      <c r="E115">
        <v>4.7397884877128522</v>
      </c>
      <c r="F115">
        <v>3.6259396543400624</v>
      </c>
      <c r="G115">
        <v>-0.12488318214669016</v>
      </c>
      <c r="H115">
        <v>-2.4595898418042106</v>
      </c>
      <c r="I115">
        <v>6.3044488024219811</v>
      </c>
      <c r="J115">
        <v>5.0755487449388994</v>
      </c>
      <c r="K115">
        <v>2.2721258855093369</v>
      </c>
      <c r="L115">
        <v>7.6349656648177833</v>
      </c>
      <c r="M115">
        <v>11.777287732100392</v>
      </c>
      <c r="N115">
        <f>8.63263572982787*2.5</f>
        <v>21.581589324569673</v>
      </c>
      <c r="O115">
        <v>0.97</v>
      </c>
    </row>
    <row r="116" spans="1:15">
      <c r="A116" s="1" t="s">
        <v>127</v>
      </c>
      <c r="B116" s="14">
        <f>Modelo!$B$2+Modelo!$B$3*B115+Modelo!$B$4*B114+Modelo!$B$5*C116+Modelo!$B$6*H114+Modelo!$B$7*E117+Modelo!$B$8*D115+Modelo!$B$9*G116+Modelo!$B$12*N115+Modelo!$B$13*M116</f>
        <v>4.8890522156339635</v>
      </c>
      <c r="C116">
        <v>5.2882670306945352</v>
      </c>
      <c r="D116">
        <v>-0.86750056770472306</v>
      </c>
      <c r="E116">
        <v>4.7397884877128522</v>
      </c>
      <c r="F116">
        <v>3.6259396543400624</v>
      </c>
      <c r="G116">
        <v>-0.12488318214669016</v>
      </c>
      <c r="H116">
        <v>-2.4595898418042106</v>
      </c>
      <c r="I116">
        <v>6.3044488024219811</v>
      </c>
      <c r="J116">
        <v>5.0755487449388994</v>
      </c>
      <c r="M116">
        <v>11.777287732100392</v>
      </c>
      <c r="N116" s="14">
        <f>N115</f>
        <v>21.581589324569673</v>
      </c>
      <c r="O116">
        <v>0.97</v>
      </c>
    </row>
    <row r="117" spans="1:15">
      <c r="A117" s="1" t="s">
        <v>128</v>
      </c>
      <c r="B117" s="14">
        <f>Modelo!$B$2+Modelo!$B$3*B116+Modelo!$B$4*B115+Modelo!$B$5*C117+Modelo!$B$6*H115+Modelo!$B$7*E118+Modelo!$B$8*D116+Modelo!$B$9*G117+Modelo!$B$12*N116+Modelo!$B$13*M117</f>
        <v>4.8660116346631384</v>
      </c>
      <c r="C117">
        <v>5.2882670306945352</v>
      </c>
      <c r="D117">
        <v>-0.86750056770472306</v>
      </c>
      <c r="E117">
        <v>4.7397884877128522</v>
      </c>
      <c r="F117">
        <v>3.6259396543400624</v>
      </c>
      <c r="G117">
        <v>-0.12488318214669016</v>
      </c>
      <c r="H117">
        <v>-2.4595898418042106</v>
      </c>
      <c r="I117">
        <v>6.3044488024219811</v>
      </c>
      <c r="J117">
        <v>5.0755487449388994</v>
      </c>
      <c r="M117">
        <v>11.777287732100392</v>
      </c>
      <c r="N117" s="14">
        <f t="shared" ref="N117:N126" si="4">N116</f>
        <v>21.581589324569673</v>
      </c>
      <c r="O117">
        <v>0.97</v>
      </c>
    </row>
    <row r="118" spans="1:15">
      <c r="A118" s="1" t="s">
        <v>129</v>
      </c>
      <c r="B118" s="14">
        <f>Modelo!$B$2+Modelo!$B$3*B117+Modelo!$B$4*B116+Modelo!$B$5*C118+Modelo!$B$6*H116+Modelo!$B$7*E119+Modelo!$B$8*D117+Modelo!$B$9*G118+Modelo!$B$12*N117+Modelo!$B$13*M118</f>
        <v>4.8680816448673916</v>
      </c>
      <c r="C118">
        <v>5.2882670306945352</v>
      </c>
      <c r="D118">
        <v>-0.86750056770472306</v>
      </c>
      <c r="E118">
        <v>4.7397884877128522</v>
      </c>
      <c r="F118">
        <v>3.6259396543400624</v>
      </c>
      <c r="G118">
        <v>-0.12488318214669016</v>
      </c>
      <c r="H118">
        <v>-2.4595898418042106</v>
      </c>
      <c r="I118">
        <v>6.3044488024219811</v>
      </c>
      <c r="J118">
        <v>5.0755487449388994</v>
      </c>
      <c r="M118">
        <v>11.777287732100392</v>
      </c>
      <c r="N118" s="14">
        <f t="shared" si="4"/>
        <v>21.581589324569673</v>
      </c>
      <c r="O118">
        <v>0.97</v>
      </c>
    </row>
    <row r="119" spans="1:15">
      <c r="A119" s="1" t="s">
        <v>130</v>
      </c>
      <c r="B119" s="14">
        <f>Modelo!$B$2+Modelo!$B$3*B118+Modelo!$B$4*B117+Modelo!$B$5*C119+Modelo!$B$6*H117+Modelo!$B$7*E120+Modelo!$B$8*D118+Modelo!$B$9*G119+Modelo!$B$12*N118+Modelo!$B$13*M119</f>
        <v>4.8625334570769247</v>
      </c>
      <c r="C119">
        <v>5.2882670306945352</v>
      </c>
      <c r="D119">
        <v>-0.86750056770472306</v>
      </c>
      <c r="E119">
        <v>4.7397884877128522</v>
      </c>
      <c r="F119">
        <v>3.6259396543400624</v>
      </c>
      <c r="G119">
        <v>-0.12488318214669016</v>
      </c>
      <c r="H119">
        <v>-2.4595898418042106</v>
      </c>
      <c r="I119">
        <v>6.3044488024219811</v>
      </c>
      <c r="J119">
        <v>5.0755487449388994</v>
      </c>
      <c r="M119">
        <v>11.777287732100392</v>
      </c>
      <c r="N119" s="14">
        <f t="shared" si="4"/>
        <v>21.581589324569673</v>
      </c>
      <c r="O119">
        <v>0.97</v>
      </c>
    </row>
    <row r="120" spans="1:15">
      <c r="A120" s="1" t="s">
        <v>131</v>
      </c>
      <c r="B120" s="14">
        <f>Modelo!$B$2+Modelo!$B$3*B119+Modelo!$B$4*B118+Modelo!$B$5*C120+Modelo!$B$6*H118+Modelo!$B$7*E121+Modelo!$B$8*D119+Modelo!$B$9*G120+Modelo!$B$12*N119+Modelo!$B$13*M120</f>
        <v>4.8635309246045821</v>
      </c>
      <c r="C120">
        <v>5.2882670306945352</v>
      </c>
      <c r="D120">
        <v>-0.86750056770472306</v>
      </c>
      <c r="E120">
        <v>4.7397884877128522</v>
      </c>
      <c r="F120">
        <v>3.6259396543400624</v>
      </c>
      <c r="G120">
        <v>-0.12488318214669016</v>
      </c>
      <c r="H120">
        <v>-2.4595898418042106</v>
      </c>
      <c r="I120">
        <v>6.3044488024219811</v>
      </c>
      <c r="J120">
        <v>5.0755487449388994</v>
      </c>
      <c r="M120">
        <v>11.777287732100392</v>
      </c>
      <c r="N120" s="14">
        <f t="shared" si="4"/>
        <v>21.581589324569673</v>
      </c>
      <c r="O120">
        <v>0.97</v>
      </c>
    </row>
    <row r="121" spans="1:15">
      <c r="A121" s="1" t="s">
        <v>132</v>
      </c>
      <c r="B121" s="14">
        <f>Modelo!$B$2+Modelo!$B$3*B120+Modelo!$B$4*B119+Modelo!$B$5*C121+Modelo!$B$6*H119+Modelo!$B$7*E122+Modelo!$B$8*D120+Modelo!$B$9*G121+Modelo!$B$12*N120+Modelo!$B$13*M121</f>
        <v>4.8621484795064411</v>
      </c>
      <c r="C121">
        <v>5.2882670306945352</v>
      </c>
      <c r="D121">
        <v>-0.86750056770472306</v>
      </c>
      <c r="E121">
        <v>4.7397884877128522</v>
      </c>
      <c r="F121">
        <v>3.6259396543400624</v>
      </c>
      <c r="G121">
        <v>-0.12488318214669016</v>
      </c>
      <c r="H121">
        <v>-2.4595898418042106</v>
      </c>
      <c r="I121">
        <v>6.3044488024219811</v>
      </c>
      <c r="J121">
        <v>5.0755487449388994</v>
      </c>
      <c r="M121">
        <v>11.777287732100392</v>
      </c>
      <c r="N121" s="14">
        <f t="shared" si="4"/>
        <v>21.581589324569673</v>
      </c>
      <c r="O121">
        <v>0.97</v>
      </c>
    </row>
    <row r="122" spans="1:15">
      <c r="A122" s="1" t="s">
        <v>133</v>
      </c>
      <c r="B122" s="14">
        <f>Modelo!$B$2+Modelo!$B$3*B121+Modelo!$B$4*B120+Modelo!$B$5*C122+Modelo!$B$6*H120+Modelo!$B$7*E123+Modelo!$B$8*D121+Modelo!$B$9*G122+Modelo!$B$12*N121+Modelo!$B$13*M122</f>
        <v>4.8625089811994044</v>
      </c>
      <c r="C122">
        <v>5.2882670306945352</v>
      </c>
      <c r="D122">
        <v>-0.86750056770472306</v>
      </c>
      <c r="E122">
        <v>4.7397884877128522</v>
      </c>
      <c r="F122">
        <v>3.6259396543400624</v>
      </c>
      <c r="G122">
        <v>-0.12488318214669016</v>
      </c>
      <c r="H122">
        <v>-2.4595898418042106</v>
      </c>
      <c r="I122">
        <v>6.3044488024219811</v>
      </c>
      <c r="J122">
        <v>5.0755487449388994</v>
      </c>
      <c r="M122">
        <v>11.777287732100392</v>
      </c>
      <c r="N122" s="14">
        <f t="shared" si="4"/>
        <v>21.581589324569673</v>
      </c>
      <c r="O122">
        <v>0.97</v>
      </c>
    </row>
    <row r="123" spans="1:15">
      <c r="A123" s="1" t="s">
        <v>134</v>
      </c>
      <c r="B123" s="14">
        <f>Modelo!$B$2+Modelo!$B$3*B122+Modelo!$B$4*B121+Modelo!$B$5*C123+Modelo!$B$6*H121+Modelo!$B$7*E124+Modelo!$B$8*D122+Modelo!$B$9*G123+Modelo!$B$12*N122+Modelo!$B$13*M123</f>
        <v>4.862154097373244</v>
      </c>
      <c r="C123">
        <v>5.2882670306945352</v>
      </c>
      <c r="D123">
        <v>-0.86750056770472306</v>
      </c>
      <c r="E123">
        <v>4.7397884877128522</v>
      </c>
      <c r="F123">
        <v>3.6259396543400624</v>
      </c>
      <c r="G123">
        <v>-0.12488318214669016</v>
      </c>
      <c r="H123">
        <v>-2.4595898418042106</v>
      </c>
      <c r="I123">
        <v>6.3044488024219811</v>
      </c>
      <c r="J123">
        <v>5.0755487449388994</v>
      </c>
      <c r="M123">
        <v>11.777287732100392</v>
      </c>
      <c r="N123" s="14">
        <f t="shared" si="4"/>
        <v>21.581589324569673</v>
      </c>
      <c r="O123">
        <v>0.97</v>
      </c>
    </row>
    <row r="124" spans="1:15">
      <c r="A124" s="1" t="s">
        <v>135</v>
      </c>
      <c r="B124" s="14">
        <f>Modelo!$B$2+Modelo!$B$3*B123+Modelo!$B$4*B122+Modelo!$B$5*C124+Modelo!$B$6*H122+Modelo!$B$7*E125+Modelo!$B$8*D123+Modelo!$B$9*G124+Modelo!$B$12*N123+Modelo!$B$13*M124</f>
        <v>4.8622709178756196</v>
      </c>
      <c r="C124">
        <v>5.2882670306945352</v>
      </c>
      <c r="D124">
        <v>-0.86750056770472306</v>
      </c>
      <c r="E124">
        <v>4.7397884877128522</v>
      </c>
      <c r="F124">
        <v>3.6259396543400624</v>
      </c>
      <c r="G124">
        <v>-0.12488318214669016</v>
      </c>
      <c r="H124">
        <v>-2.4595898418042106</v>
      </c>
      <c r="I124">
        <v>6.3044488024219811</v>
      </c>
      <c r="J124">
        <v>5.0755487449388994</v>
      </c>
      <c r="M124">
        <v>11.777287732100392</v>
      </c>
      <c r="N124" s="14">
        <f t="shared" si="4"/>
        <v>21.581589324569673</v>
      </c>
      <c r="O124">
        <v>0.97</v>
      </c>
    </row>
    <row r="125" spans="1:15">
      <c r="A125" s="1" t="s">
        <v>136</v>
      </c>
      <c r="B125" s="14">
        <f>Modelo!$B$2+Modelo!$B$3*B124+Modelo!$B$4*B123+Modelo!$B$5*C125+Modelo!$B$6*H123+Modelo!$B$7*E126+Modelo!$B$8*D124+Modelo!$B$9*G125+Modelo!$B$12*N124+Modelo!$B$13*M125</f>
        <v>4.8621775573631165</v>
      </c>
      <c r="C125">
        <v>5.2882670306945352</v>
      </c>
      <c r="D125">
        <v>-0.86750056770472306</v>
      </c>
      <c r="E125">
        <v>4.7397884877128522</v>
      </c>
      <c r="F125">
        <v>3.6259396543400624</v>
      </c>
      <c r="G125">
        <v>-0.12488318214669016</v>
      </c>
      <c r="H125">
        <v>-2.4595898418042106</v>
      </c>
      <c r="I125">
        <v>6.3044488024219811</v>
      </c>
      <c r="J125">
        <v>5.0755487449388994</v>
      </c>
      <c r="M125">
        <v>11.777287732100392</v>
      </c>
      <c r="N125" s="14">
        <f t="shared" si="4"/>
        <v>21.581589324569673</v>
      </c>
      <c r="O125">
        <v>0.97</v>
      </c>
    </row>
    <row r="126" spans="1:15">
      <c r="A126" s="1" t="s">
        <v>137</v>
      </c>
      <c r="B126" s="14">
        <f>Modelo!$B$2+Modelo!$B$3*B125+Modelo!$B$4*B124+Modelo!$B$5*C126+Modelo!$B$6*H124+Modelo!$B$7*E127+Modelo!$B$8*D125+Modelo!$B$9*G126+Modelo!$B$12*N125+Modelo!$B$13*M126</f>
        <v>4.8622133992499812</v>
      </c>
      <c r="C126">
        <v>5.2882670306945352</v>
      </c>
      <c r="D126">
        <v>-0.86750056770472306</v>
      </c>
      <c r="E126">
        <v>4.7397884877128522</v>
      </c>
      <c r="F126">
        <v>3.6259396543400624</v>
      </c>
      <c r="G126">
        <v>-0.12488318214669016</v>
      </c>
      <c r="H126">
        <v>-2.4595898418042106</v>
      </c>
      <c r="I126">
        <v>6.3044488024219811</v>
      </c>
      <c r="J126">
        <v>5.0755487449388994</v>
      </c>
      <c r="M126">
        <v>11.777287732100392</v>
      </c>
      <c r="N126" s="14">
        <f t="shared" si="4"/>
        <v>21.581589324569673</v>
      </c>
      <c r="O126">
        <v>0.97</v>
      </c>
    </row>
    <row r="127" spans="1:15">
      <c r="E127">
        <v>4.7397884877128522</v>
      </c>
      <c r="O127">
        <v>0.97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8BB9-8E84-499E-9F8A-11B19DFBF584}">
  <dimension ref="A1:T128"/>
  <sheetViews>
    <sheetView zoomScale="90" zoomScaleNormal="90" workbookViewId="0">
      <pane ySplit="1" topLeftCell="A85" activePane="bottomLeft" state="frozen"/>
      <selection pane="bottomLeft" activeCell="AF130" sqref="AF130"/>
    </sheetView>
  </sheetViews>
  <sheetFormatPr defaultRowHeight="14.5"/>
  <cols>
    <col min="2" max="2" width="24.54296875" bestFit="1" customWidth="1"/>
    <col min="14" max="14" width="9.26953125" bestFit="1" customWidth="1"/>
  </cols>
  <sheetData>
    <row r="1" spans="1:20" ht="29">
      <c r="A1" s="1" t="s">
        <v>0</v>
      </c>
      <c r="B1" s="13" t="s">
        <v>14</v>
      </c>
      <c r="C1" s="13" t="s">
        <v>15</v>
      </c>
      <c r="D1" s="13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</row>
    <row r="2" spans="1:20">
      <c r="A2" s="1" t="s">
        <v>46</v>
      </c>
      <c r="B2">
        <v>4.8131865630189097</v>
      </c>
      <c r="C2">
        <v>5.8671570546473282</v>
      </c>
      <c r="D2">
        <v>-0.8891620644859024</v>
      </c>
      <c r="E2">
        <v>4.4534166307605547</v>
      </c>
      <c r="F2">
        <v>2.5626389983283526</v>
      </c>
      <c r="G2">
        <v>-0.38345902784554975</v>
      </c>
      <c r="H2">
        <v>-2.1914966228629833</v>
      </c>
      <c r="I2">
        <v>5.6797971119056898</v>
      </c>
      <c r="J2">
        <v>4.7041101338429954</v>
      </c>
      <c r="K2">
        <v>2.5726122302071057</v>
      </c>
      <c r="L2">
        <v>5.6818776392681514</v>
      </c>
      <c r="M2">
        <v>10.189079943122826</v>
      </c>
      <c r="N2">
        <v>7.07376956355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 t="s">
        <v>47</v>
      </c>
      <c r="B3">
        <v>4.7251729783827878</v>
      </c>
      <c r="C3">
        <v>5.9302094296959655</v>
      </c>
      <c r="D3">
        <v>-0.91379385167556781</v>
      </c>
      <c r="E3">
        <v>4.4628767086472081</v>
      </c>
      <c r="F3">
        <v>2.6063865473257102</v>
      </c>
      <c r="G3">
        <v>-0.39156220293917288</v>
      </c>
      <c r="H3">
        <v>-2.1764970709757692</v>
      </c>
      <c r="I3">
        <v>5.7000421550404781</v>
      </c>
      <c r="J3">
        <v>4.7033852334850463</v>
      </c>
      <c r="K3">
        <v>2.5572273113676265</v>
      </c>
      <c r="L3">
        <v>5.80302430930585</v>
      </c>
      <c r="M3">
        <v>10.128669025875903</v>
      </c>
      <c r="N3">
        <v>7.0828255721742917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>
      <c r="A4" s="1" t="s">
        <v>48</v>
      </c>
      <c r="B4">
        <v>4.6610147741708499</v>
      </c>
      <c r="C4">
        <v>5.7666737022504657</v>
      </c>
      <c r="D4">
        <v>-0.8627499649461251</v>
      </c>
      <c r="E4">
        <v>4.4680896454397239</v>
      </c>
      <c r="F4">
        <v>2.4874035299865875</v>
      </c>
      <c r="G4">
        <v>-0.39501985024662678</v>
      </c>
      <c r="H4">
        <v>-2.1558024071401833</v>
      </c>
      <c r="I4">
        <v>5.6796605325357916</v>
      </c>
      <c r="J4">
        <v>4.706914169871375</v>
      </c>
      <c r="K4">
        <v>2.5649493574615367</v>
      </c>
      <c r="L4">
        <v>5.7695702151942037</v>
      </c>
      <c r="M4">
        <v>10.360405942233209</v>
      </c>
      <c r="N4">
        <v>7.1138015480644539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>
      <c r="A5" s="1" t="s">
        <v>49</v>
      </c>
      <c r="B5">
        <v>4.6017978393468981</v>
      </c>
      <c r="C5">
        <v>5.5740154165971356</v>
      </c>
      <c r="D5">
        <v>-1.0356374895067213</v>
      </c>
      <c r="E5">
        <v>4.472819048968776</v>
      </c>
      <c r="F5">
        <v>2.5764217586237734</v>
      </c>
      <c r="G5">
        <v>-0.39868812382914059</v>
      </c>
      <c r="H5">
        <v>-2.1853359880633865</v>
      </c>
      <c r="I5">
        <v>5.6889395277864265</v>
      </c>
      <c r="J5">
        <v>4.7267681577355791</v>
      </c>
      <c r="K5">
        <v>2.5649493574615367</v>
      </c>
      <c r="L5">
        <v>5.6950780340260545</v>
      </c>
      <c r="M5">
        <v>10.417986421668415</v>
      </c>
      <c r="N5">
        <v>7.1295299250229087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>
      <c r="A6" s="1" t="s">
        <v>50</v>
      </c>
      <c r="B6">
        <v>4.5761189215944311</v>
      </c>
      <c r="C6">
        <v>5.0431883146902639</v>
      </c>
      <c r="D6">
        <v>-0.98349948156760514</v>
      </c>
      <c r="E6">
        <v>4.488524003868771</v>
      </c>
      <c r="F6">
        <v>2.503891949699081</v>
      </c>
      <c r="G6">
        <v>-0.40351700689014947</v>
      </c>
      <c r="H6">
        <v>-2.2145113896055539</v>
      </c>
      <c r="I6">
        <v>5.730878700317902</v>
      </c>
      <c r="J6">
        <v>4.7315384848028978</v>
      </c>
      <c r="K6">
        <v>2.5726122302071057</v>
      </c>
      <c r="L6">
        <v>6.1925669675453117</v>
      </c>
      <c r="M6">
        <v>10.544077482357398</v>
      </c>
      <c r="N6">
        <v>7.1661655792233407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>
      <c r="A7" s="1" t="s">
        <v>51</v>
      </c>
      <c r="B7">
        <v>4.5944462226247786</v>
      </c>
      <c r="C7">
        <v>5.0942408779510524</v>
      </c>
      <c r="D7">
        <v>-1.0671136216087387</v>
      </c>
      <c r="E7">
        <v>4.4907689256781156</v>
      </c>
      <c r="F7">
        <v>2.6173958328340792</v>
      </c>
      <c r="G7">
        <v>-0.44498586627044817</v>
      </c>
      <c r="H7">
        <v>-2.2939779952918142</v>
      </c>
      <c r="I7">
        <v>5.7809183976189509</v>
      </c>
      <c r="J7">
        <v>4.7391764658358255</v>
      </c>
      <c r="K7">
        <v>2.5726122302071057</v>
      </c>
      <c r="L7">
        <v>6.5537909437363755</v>
      </c>
      <c r="M7">
        <v>10.508650155427521</v>
      </c>
      <c r="N7">
        <v>7.1469296089275849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>
      <c r="A8" s="1" t="s">
        <v>52</v>
      </c>
      <c r="B8">
        <v>4.6000236318355476</v>
      </c>
      <c r="C8">
        <v>4.9247629045776957</v>
      </c>
      <c r="D8">
        <v>-1.1394342831883648</v>
      </c>
      <c r="E8">
        <v>4.5340321581547514</v>
      </c>
      <c r="F8">
        <v>2.5710843460290524</v>
      </c>
      <c r="G8">
        <v>-0.44863360350954312</v>
      </c>
      <c r="H8">
        <v>-2.4498723408102254</v>
      </c>
      <c r="I8">
        <v>5.8269141437991463</v>
      </c>
      <c r="J8">
        <v>4.7595208458180158</v>
      </c>
      <c r="K8">
        <v>2.5572273113676265</v>
      </c>
      <c r="L8">
        <v>6.600006544380042</v>
      </c>
      <c r="M8">
        <v>10.503669302218212</v>
      </c>
      <c r="N8">
        <v>7.1973230540680788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>
      <c r="A9" s="1" t="s">
        <v>53</v>
      </c>
      <c r="B9">
        <v>4.5904963837539601</v>
      </c>
      <c r="C9">
        <v>4.6999347624325143</v>
      </c>
      <c r="D9">
        <v>-1.0936247471570706</v>
      </c>
      <c r="E9">
        <v>4.5507140001920323</v>
      </c>
      <c r="F9">
        <v>2.4150205223238337</v>
      </c>
      <c r="G9">
        <v>-0.44005655287778339</v>
      </c>
      <c r="H9">
        <v>-2.5099347600696031</v>
      </c>
      <c r="I9">
        <v>5.8633565166706649</v>
      </c>
      <c r="J9">
        <v>4.7934738144595936</v>
      </c>
      <c r="K9">
        <v>2.5572273113676265</v>
      </c>
      <c r="L9">
        <v>6.8028391090325773</v>
      </c>
      <c r="M9">
        <v>10.702660027739377</v>
      </c>
      <c r="N9">
        <v>7.2572142847277803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>
      <c r="A10" s="1" t="s">
        <v>54</v>
      </c>
      <c r="B10">
        <v>4.5707167579183672</v>
      </c>
      <c r="C10">
        <v>4.53671284964802</v>
      </c>
      <c r="D10">
        <v>-1.1239300966523995</v>
      </c>
      <c r="E10">
        <v>4.5594054406203464</v>
      </c>
      <c r="F10">
        <v>2.6019486702196644</v>
      </c>
      <c r="G10">
        <v>-0.44207722660489646</v>
      </c>
      <c r="H10">
        <v>-2.5717688667722318</v>
      </c>
      <c r="I10">
        <v>5.9003264852366213</v>
      </c>
      <c r="J10">
        <v>4.7831489933479094</v>
      </c>
      <c r="K10">
        <v>2.5416019934645457</v>
      </c>
      <c r="L10">
        <v>6.9899802192378067</v>
      </c>
      <c r="M10">
        <v>10.732148534449308</v>
      </c>
      <c r="N10">
        <v>7.2590175907664287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>
      <c r="A11" s="1" t="s">
        <v>55</v>
      </c>
      <c r="B11">
        <v>4.526163053032664</v>
      </c>
      <c r="C11">
        <v>4.242764567340374</v>
      </c>
      <c r="D11">
        <v>-1.0384583658483626</v>
      </c>
      <c r="E11">
        <v>4.5377831672862357</v>
      </c>
      <c r="F11">
        <v>2.6741486494265287</v>
      </c>
      <c r="G11">
        <v>-0.44665175243841532</v>
      </c>
      <c r="H11">
        <v>-2.6018222575305678</v>
      </c>
      <c r="I11">
        <v>5.9733684628385717</v>
      </c>
      <c r="J11">
        <v>4.8121843553724171</v>
      </c>
      <c r="K11">
        <v>2.5572273113676265</v>
      </c>
      <c r="L11">
        <v>7.2953279342487134</v>
      </c>
      <c r="M11">
        <v>10.903972363206295</v>
      </c>
      <c r="N11">
        <v>7.3154512140018886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>
      <c r="A12" s="1" t="s">
        <v>56</v>
      </c>
      <c r="B12">
        <v>4.5035434319001624</v>
      </c>
      <c r="C12">
        <v>4.6039026830455168</v>
      </c>
      <c r="D12">
        <v>-0.94417593536369071</v>
      </c>
      <c r="E12">
        <v>4.5449954629520208</v>
      </c>
      <c r="F12">
        <v>3.0740812399649675</v>
      </c>
      <c r="G12">
        <v>-0.47117765147354684</v>
      </c>
      <c r="H12">
        <v>-2.6671874092604182</v>
      </c>
      <c r="I12">
        <v>6.0096891325652022</v>
      </c>
      <c r="J12">
        <v>4.8291134174728656</v>
      </c>
      <c r="K12">
        <v>2.5494451709255714</v>
      </c>
      <c r="L12">
        <v>7.5298896922956633</v>
      </c>
      <c r="M12">
        <v>11.009819964219377</v>
      </c>
      <c r="N12">
        <v>7.330896572103244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>
      <c r="A13" s="1" t="s">
        <v>57</v>
      </c>
      <c r="B13">
        <v>4.4582929901273314</v>
      </c>
      <c r="C13">
        <v>4.5601379868147021</v>
      </c>
      <c r="D13">
        <v>-0.93649343919167449</v>
      </c>
      <c r="E13">
        <v>4.5658401335241514</v>
      </c>
      <c r="F13">
        <v>3.0587070727153796</v>
      </c>
      <c r="G13">
        <v>-0.46251176348744</v>
      </c>
      <c r="H13">
        <v>-2.6651850594396391</v>
      </c>
      <c r="I13">
        <v>6.0304047722102183</v>
      </c>
      <c r="J13">
        <v>4.8490570984402011</v>
      </c>
      <c r="K13">
        <v>2.5416019934645457</v>
      </c>
      <c r="L13">
        <v>7.5591425252938507</v>
      </c>
      <c r="M13">
        <v>11.064855524029626</v>
      </c>
      <c r="N13">
        <v>7.2919014007416818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>
      <c r="A14" s="1" t="s">
        <v>58</v>
      </c>
      <c r="B14">
        <v>4.4538432932967478</v>
      </c>
      <c r="C14">
        <v>5.0027153472843393</v>
      </c>
      <c r="D14">
        <v>-1.0188773206492561</v>
      </c>
      <c r="E14">
        <v>4.5574844117555307</v>
      </c>
      <c r="F14">
        <v>3.2627013044082305</v>
      </c>
      <c r="G14">
        <v>-0.48277821121083569</v>
      </c>
      <c r="H14">
        <v>-2.6468986082822235</v>
      </c>
      <c r="I14">
        <v>6.0784064772417894</v>
      </c>
      <c r="J14">
        <v>4.8396887953238066</v>
      </c>
      <c r="K14">
        <v>2.5014359517392109</v>
      </c>
      <c r="L14">
        <v>7.5441204454430979</v>
      </c>
      <c r="M14">
        <v>11.018104415345954</v>
      </c>
      <c r="N14">
        <v>7.1874303441165059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>
      <c r="A15" s="1" t="s">
        <v>59</v>
      </c>
      <c r="B15">
        <v>4.4316101348631056</v>
      </c>
      <c r="C15">
        <v>4.7053168330248303</v>
      </c>
      <c r="D15">
        <v>-0.89404012293933532</v>
      </c>
      <c r="E15">
        <v>4.5662560924888655</v>
      </c>
      <c r="F15">
        <v>3.0378334495726262</v>
      </c>
      <c r="G15">
        <v>-0.50401553183744152</v>
      </c>
      <c r="H15">
        <v>-2.5731197766239893</v>
      </c>
      <c r="I15">
        <v>6.1284690681002694</v>
      </c>
      <c r="J15">
        <v>4.8713732267627483</v>
      </c>
      <c r="K15">
        <v>2.5014359517392109</v>
      </c>
      <c r="L15">
        <v>7.5050521338852478</v>
      </c>
      <c r="M15">
        <v>11.082419433618579</v>
      </c>
      <c r="N15">
        <v>7.1546153569136628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>
      <c r="A16" s="1" t="s">
        <v>60</v>
      </c>
      <c r="B16">
        <v>4.4197237518462105</v>
      </c>
      <c r="C16">
        <v>4.9341861219328491</v>
      </c>
      <c r="D16">
        <v>-1.3862943611198906</v>
      </c>
      <c r="E16">
        <v>4.6192374431995207</v>
      </c>
      <c r="F16">
        <v>3.3199873262366122</v>
      </c>
      <c r="G16">
        <v>-0.54128483125069926</v>
      </c>
      <c r="H16">
        <v>-2.5118109537761457</v>
      </c>
      <c r="I16">
        <v>6.1277348937045142</v>
      </c>
      <c r="J16">
        <v>4.8716796932070716</v>
      </c>
      <c r="K16">
        <v>2.5095992623783721</v>
      </c>
      <c r="L16">
        <v>7.5027382107548508</v>
      </c>
      <c r="M16">
        <v>10.810555888548141</v>
      </c>
      <c r="N16">
        <v>7.0616430545544402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>
      <c r="A17" s="1" t="s">
        <v>61</v>
      </c>
      <c r="B17">
        <v>4.6317796594165364</v>
      </c>
      <c r="C17">
        <v>5.8605676810686971</v>
      </c>
      <c r="D17">
        <v>-1.7778565640590638</v>
      </c>
      <c r="E17">
        <v>4.5983805216286751</v>
      </c>
      <c r="F17">
        <v>3.9458445539036568</v>
      </c>
      <c r="G17">
        <v>-0.52312315157639799</v>
      </c>
      <c r="H17">
        <v>-2.7315740053071966</v>
      </c>
      <c r="I17">
        <v>5.8840185249591341</v>
      </c>
      <c r="J17">
        <v>4.801065862809164</v>
      </c>
      <c r="K17">
        <v>2.4849066497880004</v>
      </c>
      <c r="L17">
        <v>7.4234490341449879</v>
      </c>
      <c r="M17">
        <v>10.53342865719228</v>
      </c>
      <c r="N17">
        <v>6.8059993700277497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>
      <c r="A18" s="1" t="s">
        <v>62</v>
      </c>
      <c r="B18">
        <v>4.5993868278986891</v>
      </c>
      <c r="C18">
        <v>5.8785197880918476</v>
      </c>
      <c r="D18">
        <v>-1.6245515502441485</v>
      </c>
      <c r="E18">
        <v>4.5124699306991705</v>
      </c>
      <c r="F18">
        <v>3.8091039514203047</v>
      </c>
      <c r="G18">
        <v>-0.5195861072128648</v>
      </c>
      <c r="H18">
        <v>-3.0230627096460276</v>
      </c>
      <c r="I18">
        <v>5.755446811310164</v>
      </c>
      <c r="J18">
        <v>4.8118590992303405</v>
      </c>
      <c r="K18">
        <v>2.4595888418037104</v>
      </c>
      <c r="L18">
        <v>7.2730231973388886</v>
      </c>
      <c r="M18">
        <v>10.619520836882774</v>
      </c>
      <c r="N18">
        <v>6.6819456707909985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>
      <c r="A19" s="1" t="s">
        <v>63</v>
      </c>
      <c r="B19">
        <v>4.5096499841306787</v>
      </c>
      <c r="C19">
        <v>5.4348859547211479</v>
      </c>
      <c r="D19">
        <v>-1.2413285908697049</v>
      </c>
      <c r="E19">
        <v>4.5343184450161402</v>
      </c>
      <c r="F19">
        <v>3.420673158162812</v>
      </c>
      <c r="G19">
        <v>-0.51355155797322338</v>
      </c>
      <c r="H19">
        <v>-3.1080535219712719</v>
      </c>
      <c r="I19">
        <v>5.8337087655925934</v>
      </c>
      <c r="J19">
        <v>4.8319072728124315</v>
      </c>
      <c r="K19">
        <v>2.451005098112319</v>
      </c>
      <c r="L19">
        <v>7.1828838853622976</v>
      </c>
      <c r="M19">
        <v>10.848657243960659</v>
      </c>
      <c r="N19">
        <v>6.8236342742837257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>
      <c r="A20" s="1" t="s">
        <v>64</v>
      </c>
      <c r="B20">
        <v>4.4283136686251954</v>
      </c>
      <c r="C20">
        <v>4.9391392923911859</v>
      </c>
      <c r="D20">
        <v>-1.0384583658483626</v>
      </c>
      <c r="E20">
        <v>4.5596496706862819</v>
      </c>
      <c r="F20">
        <v>3.2523106009544382</v>
      </c>
      <c r="G20">
        <v>-0.47000362924573558</v>
      </c>
      <c r="H20">
        <v>-3.0684150306906539</v>
      </c>
      <c r="I20">
        <v>5.9178180069396831</v>
      </c>
      <c r="J20">
        <v>4.8591144864550131</v>
      </c>
      <c r="K20">
        <v>2.4595888418037104</v>
      </c>
      <c r="L20">
        <v>6.9321551658056721</v>
      </c>
      <c r="M20">
        <v>11.027085093898146</v>
      </c>
      <c r="N20">
        <v>6.9632656273373419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>
      <c r="A21" s="1" t="s">
        <v>65</v>
      </c>
      <c r="B21">
        <v>4.374876130645041</v>
      </c>
      <c r="C21">
        <v>4.8218931694993783</v>
      </c>
      <c r="D21">
        <v>-1.0051219455807707</v>
      </c>
      <c r="E21">
        <v>4.6120464899275238</v>
      </c>
      <c r="F21">
        <v>3.2437635403759799</v>
      </c>
      <c r="G21">
        <v>-0.45644266287303248</v>
      </c>
      <c r="H21">
        <v>-2.9890524593624481</v>
      </c>
      <c r="I21">
        <v>5.971227825606543</v>
      </c>
      <c r="J21">
        <v>4.8834077996118728</v>
      </c>
      <c r="K21">
        <v>2.4680995314716192</v>
      </c>
      <c r="L21">
        <v>6.8801785112119029</v>
      </c>
      <c r="M21">
        <v>11.135872871298742</v>
      </c>
      <c r="N21">
        <v>7.01669934407726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>
      <c r="A22" s="1" t="s">
        <v>66</v>
      </c>
      <c r="B22">
        <v>4.3814848212532462</v>
      </c>
      <c r="C22">
        <v>4.862264434436991</v>
      </c>
      <c r="D22">
        <v>-1.1301029557594806</v>
      </c>
      <c r="E22">
        <v>4.6521809902574427</v>
      </c>
      <c r="F22">
        <v>3.0238337036648657</v>
      </c>
      <c r="G22">
        <v>-0.47379748348498985</v>
      </c>
      <c r="H22">
        <v>-2.9396453276570123</v>
      </c>
      <c r="I22">
        <v>6.043535039398984</v>
      </c>
      <c r="J22">
        <v>4.9163246146250144</v>
      </c>
      <c r="K22">
        <v>2.4680995314716192</v>
      </c>
      <c r="L22">
        <v>6.7911090968628169</v>
      </c>
      <c r="M22">
        <v>11.161550735758937</v>
      </c>
      <c r="N22">
        <v>7.0642717755232978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 t="s">
        <v>67</v>
      </c>
      <c r="B23">
        <v>4.3448438435461654</v>
      </c>
      <c r="C23">
        <v>4.8756041106809125</v>
      </c>
      <c r="D23">
        <v>-1.2909841813155656</v>
      </c>
      <c r="E23">
        <v>4.6702710489818324</v>
      </c>
      <c r="F23">
        <v>3.3860837438521072</v>
      </c>
      <c r="G23">
        <v>-0.43783335314089478</v>
      </c>
      <c r="H23">
        <v>-2.8572278267646829</v>
      </c>
      <c r="I23">
        <v>6.0722454437914166</v>
      </c>
      <c r="J23">
        <v>4.9119193211570984</v>
      </c>
      <c r="K23">
        <v>2.4680995314716192</v>
      </c>
      <c r="L23">
        <v>6.8003927606536374</v>
      </c>
      <c r="M23">
        <v>11.017579412052624</v>
      </c>
      <c r="N23">
        <v>6.9380031262412221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>
      <c r="A24" s="1" t="s">
        <v>68</v>
      </c>
      <c r="B24">
        <v>4.3343670811237596</v>
      </c>
      <c r="C24">
        <v>4.8026266303663165</v>
      </c>
      <c r="D24">
        <v>-1.1394342831883648</v>
      </c>
      <c r="E24">
        <v>4.7378345361732572</v>
      </c>
      <c r="F24">
        <v>3.1954024686825586</v>
      </c>
      <c r="G24">
        <v>-0.46824517623087231</v>
      </c>
      <c r="H24">
        <v>-2.9578674701863719</v>
      </c>
      <c r="I24">
        <v>6.0810919437768067</v>
      </c>
      <c r="J24">
        <v>4.9334662313251272</v>
      </c>
      <c r="K24">
        <v>2.4765384001174837</v>
      </c>
      <c r="L24">
        <v>6.9650803456014065</v>
      </c>
      <c r="M24">
        <v>11.148074329747319</v>
      </c>
      <c r="N24">
        <v>7.0398355765526937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>
      <c r="A25" s="1" t="s">
        <v>69</v>
      </c>
      <c r="B25">
        <v>4.3159758595457589</v>
      </c>
      <c r="C25">
        <v>4.6593107729880892</v>
      </c>
      <c r="D25">
        <v>-0.8891620644859024</v>
      </c>
      <c r="E25">
        <v>4.7666368954297864</v>
      </c>
      <c r="F25">
        <v>3.0363942552728806</v>
      </c>
      <c r="G25">
        <v>-0.47320876019468389</v>
      </c>
      <c r="H25">
        <v>-2.9159729583998324</v>
      </c>
      <c r="I25">
        <v>6.1884352241181677</v>
      </c>
      <c r="J25">
        <v>4.9316642342252619</v>
      </c>
      <c r="K25">
        <v>2.4849066497880004</v>
      </c>
      <c r="L25">
        <v>7.1092256546148525</v>
      </c>
      <c r="M25">
        <v>11.146272332647454</v>
      </c>
      <c r="N25">
        <v>7.136992239432459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>
      <c r="A26" s="1" t="s">
        <v>70</v>
      </c>
      <c r="B26">
        <v>4.3068989119820422</v>
      </c>
      <c r="C26">
        <v>4.7364615716692668</v>
      </c>
      <c r="D26">
        <v>-0.85331593271276662</v>
      </c>
      <c r="E26">
        <v>4.7704586102258029</v>
      </c>
      <c r="F26">
        <v>2.919930560137709</v>
      </c>
      <c r="G26">
        <v>-0.50777472693273484</v>
      </c>
      <c r="H26">
        <v>-2.8612193801930306</v>
      </c>
      <c r="I26">
        <v>6.304180637279404</v>
      </c>
      <c r="J26">
        <v>4.9492562210864106</v>
      </c>
      <c r="K26">
        <v>2.4765384001174837</v>
      </c>
      <c r="L26">
        <v>7.4070142663766623</v>
      </c>
      <c r="M26">
        <v>11.135858291382576</v>
      </c>
      <c r="N26">
        <v>7.1897939242531121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>
      <c r="A27" s="1" t="s">
        <v>71</v>
      </c>
      <c r="B27">
        <v>4.2859286446285445</v>
      </c>
      <c r="C27">
        <v>4.6832417214082467</v>
      </c>
      <c r="D27">
        <v>-1.1973282616072674</v>
      </c>
      <c r="E27">
        <v>4.7786471892206448</v>
      </c>
      <c r="F27">
        <v>2.7453459858459071</v>
      </c>
      <c r="G27">
        <v>-0.49692271859699916</v>
      </c>
      <c r="H27">
        <v>-2.8146115430464809</v>
      </c>
      <c r="I27">
        <v>6.3452795720408455</v>
      </c>
      <c r="J27">
        <v>4.95477016125486</v>
      </c>
      <c r="K27">
        <v>2.4849066497880004</v>
      </c>
      <c r="L27">
        <v>7.6709880671087705</v>
      </c>
      <c r="M27">
        <v>11.041384654867141</v>
      </c>
      <c r="N27">
        <v>7.1858717576561402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>
      <c r="A28" s="1" t="s">
        <v>72</v>
      </c>
      <c r="B28">
        <v>4.3099486519791341</v>
      </c>
      <c r="C28">
        <v>4.9733487093102386</v>
      </c>
      <c r="D28">
        <v>-1.1973282616072674</v>
      </c>
      <c r="E28">
        <v>4.7951291699112577</v>
      </c>
      <c r="F28">
        <v>3.5049566159530077</v>
      </c>
      <c r="G28">
        <v>-0.52368573949559594</v>
      </c>
      <c r="H28">
        <v>-3.0814251492580866</v>
      </c>
      <c r="I28">
        <v>6.3090876303037282</v>
      </c>
      <c r="J28">
        <v>4.9528649283460435</v>
      </c>
      <c r="K28">
        <v>2.4765384001174837</v>
      </c>
      <c r="L28">
        <v>7.2399325913204695</v>
      </c>
      <c r="M28">
        <v>10.865210435808118</v>
      </c>
      <c r="N28">
        <v>7.0312287988077342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>
      <c r="A29" s="1" t="s">
        <v>73</v>
      </c>
      <c r="B29">
        <v>4.3638202327323183</v>
      </c>
      <c r="C29">
        <v>5.0977501657301305</v>
      </c>
      <c r="D29">
        <v>-1.1583622930738837</v>
      </c>
      <c r="E29">
        <v>4.7750535976614117</v>
      </c>
      <c r="F29">
        <v>3.2976870052924907</v>
      </c>
      <c r="G29">
        <v>-0.50661229011312259</v>
      </c>
      <c r="H29">
        <v>-3.3046625454638594</v>
      </c>
      <c r="I29">
        <v>6.2171315784332508</v>
      </c>
      <c r="J29">
        <v>4.9478374792722155</v>
      </c>
      <c r="K29">
        <v>2.4849066497880004</v>
      </c>
      <c r="L29">
        <v>7.0516824477887798</v>
      </c>
      <c r="M29">
        <v>10.946481417441225</v>
      </c>
      <c r="N29">
        <v>7.1369604022617246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>
      <c r="A30" s="1" t="s">
        <v>74</v>
      </c>
      <c r="B30">
        <v>4.3446708481305452</v>
      </c>
      <c r="C30">
        <v>4.9386142709538818</v>
      </c>
      <c r="D30">
        <v>-1.0498221244986778</v>
      </c>
      <c r="E30">
        <v>4.7200750094888324</v>
      </c>
      <c r="F30">
        <v>2.8786365016777435</v>
      </c>
      <c r="G30">
        <v>-0.50738709783354952</v>
      </c>
      <c r="H30">
        <v>-3.4905333038220512</v>
      </c>
      <c r="I30">
        <v>6.2042007965069832</v>
      </c>
      <c r="J30">
        <v>4.9424278283831402</v>
      </c>
      <c r="K30">
        <v>2.4765384001174837</v>
      </c>
      <c r="L30">
        <v>7.0779199055054605</v>
      </c>
      <c r="M30">
        <v>11.07459103087878</v>
      </c>
      <c r="N30">
        <v>7.250259267034572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>
      <c r="A31" s="1" t="s">
        <v>75</v>
      </c>
      <c r="B31">
        <v>4.4372642234280528</v>
      </c>
      <c r="C31">
        <v>4.9661259541102982</v>
      </c>
      <c r="D31">
        <v>-1.2310014767138553</v>
      </c>
      <c r="E31">
        <v>4.7299509028853972</v>
      </c>
      <c r="F31">
        <v>2.9668182633893485</v>
      </c>
      <c r="G31">
        <v>-0.48380509955941647</v>
      </c>
      <c r="H31">
        <v>-4.0142133943453144</v>
      </c>
      <c r="I31">
        <v>6.1882093645676264</v>
      </c>
      <c r="J31">
        <v>4.9664743983104858</v>
      </c>
      <c r="K31">
        <v>2.4765384001174837</v>
      </c>
      <c r="L31">
        <v>7.0167890400062598</v>
      </c>
      <c r="M31">
        <v>10.903291884638101</v>
      </c>
      <c r="N31">
        <v>7.2168269792046589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>
      <c r="A32" s="1" t="s">
        <v>76</v>
      </c>
      <c r="B32">
        <v>4.463760219700168</v>
      </c>
      <c r="C32">
        <v>4.8588561333267473</v>
      </c>
      <c r="D32">
        <v>-1.1679623668029029</v>
      </c>
      <c r="E32">
        <v>4.7340909660549304</v>
      </c>
      <c r="F32">
        <v>2.8553201198372458</v>
      </c>
      <c r="G32">
        <v>-0.51868979882279254</v>
      </c>
      <c r="H32">
        <v>-4.2201868544768324</v>
      </c>
      <c r="I32">
        <v>6.1787114544244295</v>
      </c>
      <c r="J32">
        <v>4.9676582012411155</v>
      </c>
      <c r="K32">
        <v>2.4680995314716192</v>
      </c>
      <c r="L32">
        <v>6.9657411281807899</v>
      </c>
      <c r="M32">
        <v>10.988271333267704</v>
      </c>
      <c r="N32">
        <v>7.2728635926430671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>
      <c r="A33" s="1" t="s">
        <v>77</v>
      </c>
      <c r="B33">
        <v>4.4766926676658683</v>
      </c>
      <c r="C33">
        <v>4.6828411602472402</v>
      </c>
      <c r="D33">
        <v>-1.1301029557594806</v>
      </c>
      <c r="E33">
        <v>4.712648457616913</v>
      </c>
      <c r="F33">
        <v>2.8622008809294686</v>
      </c>
      <c r="G33">
        <v>-0.49977578757940677</v>
      </c>
      <c r="H33">
        <v>-4.2828142066652628</v>
      </c>
      <c r="I33">
        <v>6.1854813361712608</v>
      </c>
      <c r="J33">
        <v>4.9708544240844112</v>
      </c>
      <c r="K33">
        <v>2.4595888418037104</v>
      </c>
      <c r="L33">
        <v>6.8979069429273228</v>
      </c>
      <c r="M33">
        <v>11.017841948152846</v>
      </c>
      <c r="N33">
        <v>7.262761790846187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>
      <c r="A34" s="1" t="s">
        <v>78</v>
      </c>
      <c r="B34">
        <v>4.4329969602455561</v>
      </c>
      <c r="C34">
        <v>4.7946055462415957</v>
      </c>
      <c r="D34">
        <v>-1.0817551716016869</v>
      </c>
      <c r="E34">
        <v>4.7151599700295739</v>
      </c>
      <c r="F34">
        <v>2.6504210882655737</v>
      </c>
      <c r="G34">
        <v>-0.52475552929948865</v>
      </c>
      <c r="H34">
        <v>-3.9779532692099786</v>
      </c>
      <c r="I34">
        <v>6.1829935846528494</v>
      </c>
      <c r="J34">
        <v>4.9770095664465952</v>
      </c>
      <c r="K34">
        <v>2.4680995314716192</v>
      </c>
      <c r="L34">
        <v>6.7897597207444296</v>
      </c>
      <c r="M34">
        <v>10.939373011295933</v>
      </c>
      <c r="N34">
        <v>7.3583148043009929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</row>
    <row r="35" spans="1:20">
      <c r="A35" s="1" t="s">
        <v>79</v>
      </c>
      <c r="B35">
        <v>4.4536105908445656</v>
      </c>
      <c r="C35">
        <v>4.9375863507171411</v>
      </c>
      <c r="D35">
        <v>-1.2140231401794375</v>
      </c>
      <c r="E35">
        <v>4.6958332208853335</v>
      </c>
      <c r="F35">
        <v>2.7447035187502458</v>
      </c>
      <c r="G35">
        <v>-0.53762601171050406</v>
      </c>
      <c r="H35">
        <v>-3.6136529232572792</v>
      </c>
      <c r="I35">
        <v>6.1675584187305308</v>
      </c>
      <c r="J35">
        <v>4.9860010131378951</v>
      </c>
      <c r="K35">
        <v>2.451005098112319</v>
      </c>
      <c r="L35">
        <v>6.8053902723041091</v>
      </c>
      <c r="M35">
        <v>10.767579316866689</v>
      </c>
      <c r="N35">
        <v>7.3816762437508761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>
      <c r="A36" s="1" t="s">
        <v>80</v>
      </c>
      <c r="B36">
        <v>4.5584279234356107</v>
      </c>
      <c r="C36">
        <v>5.2256929088270354</v>
      </c>
      <c r="D36">
        <v>-1.1711829815029451</v>
      </c>
      <c r="E36">
        <v>4.6831492273046802</v>
      </c>
      <c r="F36">
        <v>2.753023566744941</v>
      </c>
      <c r="G36">
        <v>-0.54875827793464182</v>
      </c>
      <c r="H36">
        <v>-3.3878839866514245</v>
      </c>
      <c r="I36">
        <v>6.152044514700143</v>
      </c>
      <c r="J36">
        <v>4.9958600085141018</v>
      </c>
      <c r="K36">
        <v>2.451005098112319</v>
      </c>
      <c r="L36">
        <v>6.7288678189224651</v>
      </c>
      <c r="M36">
        <v>10.865477963661274</v>
      </c>
      <c r="N36">
        <v>7.4274712951311441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>
      <c r="A37" s="1" t="s">
        <v>81</v>
      </c>
      <c r="B37">
        <v>4.54347207151823</v>
      </c>
      <c r="C37">
        <v>5.2071336611254191</v>
      </c>
      <c r="D37">
        <v>-1.2275826699650698</v>
      </c>
      <c r="E37">
        <v>4.6919287532462528</v>
      </c>
      <c r="F37">
        <v>2.6188546222977394</v>
      </c>
      <c r="G37">
        <v>-0.53012171270772068</v>
      </c>
      <c r="H37">
        <v>-3.2863351048593468</v>
      </c>
      <c r="I37">
        <v>6.1369924430729244</v>
      </c>
      <c r="J37">
        <v>5.0022670444257393</v>
      </c>
      <c r="K37">
        <v>2.4595888418037104</v>
      </c>
      <c r="L37">
        <v>6.6461307408496459</v>
      </c>
      <c r="M37">
        <v>10.849472999745322</v>
      </c>
      <c r="N37">
        <v>7.5220540304992669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>
      <c r="A38" s="1" t="s">
        <v>82</v>
      </c>
      <c r="B38">
        <v>4.5432947822700038</v>
      </c>
      <c r="C38">
        <v>5.2227675092234866</v>
      </c>
      <c r="D38">
        <v>-1.1488535051048565</v>
      </c>
      <c r="E38">
        <v>4.684227793224859</v>
      </c>
      <c r="F38">
        <v>2.7363136663750693</v>
      </c>
      <c r="G38">
        <v>-0.54881598300404755</v>
      </c>
      <c r="H38">
        <v>-3.1581712150951069</v>
      </c>
      <c r="I38">
        <v>6.1405165363902325</v>
      </c>
      <c r="J38">
        <v>4.9957923472264811</v>
      </c>
      <c r="K38">
        <v>2.4336133554004498</v>
      </c>
      <c r="L38">
        <v>6.590575735741333</v>
      </c>
      <c r="M38">
        <v>10.828044028827316</v>
      </c>
      <c r="N38">
        <v>7.5349442462224676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>
      <c r="A39" s="1" t="s">
        <v>83</v>
      </c>
      <c r="B39">
        <v>4.468127875392514</v>
      </c>
      <c r="C39">
        <v>5.0029612571858033</v>
      </c>
      <c r="D39">
        <v>-1.0613165039244128</v>
      </c>
      <c r="E39">
        <v>4.671956179666136</v>
      </c>
      <c r="F39">
        <v>2.4956817229559589</v>
      </c>
      <c r="G39">
        <v>-0.54231629085736144</v>
      </c>
      <c r="H39">
        <v>-3.2125454263407041</v>
      </c>
      <c r="I39">
        <v>6.209943904628644</v>
      </c>
      <c r="J39">
        <v>4.9657773884544287</v>
      </c>
      <c r="K39">
        <v>2.4336133554004498</v>
      </c>
      <c r="L39">
        <v>6.6804781963863205</v>
      </c>
      <c r="M39">
        <v>10.881211990594375</v>
      </c>
      <c r="N39">
        <v>7.5808170823149705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>
      <c r="A40" s="1" t="s">
        <v>84</v>
      </c>
      <c r="B40">
        <v>4.4843199512826137</v>
      </c>
      <c r="C40">
        <v>4.9825101303704074</v>
      </c>
      <c r="D40">
        <v>-1.0996127890016933</v>
      </c>
      <c r="E40">
        <v>4.6640992535173789</v>
      </c>
      <c r="F40">
        <v>2.7133693625798099</v>
      </c>
      <c r="G40">
        <v>-0.54455477651011852</v>
      </c>
      <c r="H40">
        <v>-3.130996988049862</v>
      </c>
      <c r="I40">
        <v>6.1935206460917058</v>
      </c>
      <c r="J40">
        <v>4.9849071455235245</v>
      </c>
      <c r="K40">
        <v>2.4423470353692043</v>
      </c>
      <c r="L40">
        <v>6.6166005170513831</v>
      </c>
      <c r="M40">
        <v>10.89888516972325</v>
      </c>
      <c r="N40">
        <v>7.5869506029796785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>
      <c r="A41" s="1" t="s">
        <v>85</v>
      </c>
      <c r="B41">
        <v>4.5521209648979246</v>
      </c>
      <c r="C41">
        <v>5.1530603538908979</v>
      </c>
      <c r="D41">
        <v>-1.2447947988461909</v>
      </c>
      <c r="E41">
        <v>4.627942256330285</v>
      </c>
      <c r="F41">
        <v>2.7421295147550726</v>
      </c>
      <c r="G41">
        <v>-0.52267330901370601</v>
      </c>
      <c r="H41">
        <v>-3.019219086636018</v>
      </c>
      <c r="I41">
        <v>6.1362717119320864</v>
      </c>
      <c r="J41">
        <v>4.9852491077058403</v>
      </c>
      <c r="K41">
        <v>2.4336133554004498</v>
      </c>
      <c r="L41">
        <v>6.5763302835824371</v>
      </c>
      <c r="M41">
        <v>10.819918274611197</v>
      </c>
      <c r="N41">
        <v>7.6299270911514236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>
      <c r="A42" s="1" t="s">
        <v>86</v>
      </c>
      <c r="B42">
        <v>4.6019650550391429</v>
      </c>
      <c r="C42">
        <v>5.4998981023432982</v>
      </c>
      <c r="D42">
        <v>-1.3664917338237108</v>
      </c>
      <c r="E42">
        <v>4.5797839995976748</v>
      </c>
      <c r="F42">
        <v>2.8051769118329331</v>
      </c>
      <c r="G42">
        <v>-0.48288625507674926</v>
      </c>
      <c r="H42">
        <v>-2.9543715726304307</v>
      </c>
      <c r="I42">
        <v>6.0581492011539639</v>
      </c>
      <c r="J42">
        <v>4.9672405484437316</v>
      </c>
      <c r="K42">
        <v>2.4336133554004498</v>
      </c>
      <c r="L42">
        <v>6.4461958965190647</v>
      </c>
      <c r="M42">
        <v>10.842517771379773</v>
      </c>
      <c r="N42">
        <v>7.6342839907766624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 t="s">
        <v>87</v>
      </c>
      <c r="B43">
        <v>4.6473991902026057</v>
      </c>
      <c r="C43">
        <v>5.4940580658888356</v>
      </c>
      <c r="D43">
        <v>-1.1973282616072674</v>
      </c>
      <c r="E43">
        <v>4.534568878804544</v>
      </c>
      <c r="F43">
        <v>2.7434173449395014</v>
      </c>
      <c r="G43">
        <v>-0.43767843047281657</v>
      </c>
      <c r="H43">
        <v>-2.769731323295086</v>
      </c>
      <c r="I43">
        <v>6.0386661485922755</v>
      </c>
      <c r="J43">
        <v>4.9376344012117652</v>
      </c>
      <c r="K43">
        <v>2.4336133554004498</v>
      </c>
      <c r="L43">
        <v>6.433261584463537</v>
      </c>
      <c r="M43">
        <v>10.879574327756249</v>
      </c>
      <c r="N43">
        <v>7.6319698841248762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>
      <c r="A44" s="1" t="s">
        <v>88</v>
      </c>
      <c r="B44">
        <v>4.7747441699595434</v>
      </c>
      <c r="C44">
        <v>5.8668807196516779</v>
      </c>
      <c r="D44">
        <v>-1.5896352851379207</v>
      </c>
      <c r="E44">
        <v>4.5277850549385459</v>
      </c>
      <c r="F44">
        <v>3.0619880693310564</v>
      </c>
      <c r="G44">
        <v>-0.39101994367666915</v>
      </c>
      <c r="H44">
        <v>-2.6154818450956281</v>
      </c>
      <c r="I44">
        <v>6.0306852602612633</v>
      </c>
      <c r="J44">
        <v>4.9242782484397249</v>
      </c>
      <c r="K44">
        <v>2.4336133554004498</v>
      </c>
      <c r="L44">
        <v>6.4732732218034803</v>
      </c>
      <c r="M44">
        <v>10.71572802110793</v>
      </c>
      <c r="N44">
        <v>7.5600961051583084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</row>
    <row r="45" spans="1:20">
      <c r="A45" s="1" t="s">
        <v>89</v>
      </c>
      <c r="B45">
        <v>4.8190442412978403</v>
      </c>
      <c r="C45">
        <v>6.0935697700451357</v>
      </c>
      <c r="D45">
        <v>-1.5654210270173261</v>
      </c>
      <c r="E45">
        <v>4.5088061177050074</v>
      </c>
      <c r="F45">
        <v>2.8015405441895487</v>
      </c>
      <c r="G45">
        <v>-0.36192680609368139</v>
      </c>
      <c r="H45">
        <v>-2.6805086026926448</v>
      </c>
      <c r="I45">
        <v>5.9822556080226716</v>
      </c>
      <c r="J45">
        <v>4.9152984472697021</v>
      </c>
      <c r="K45">
        <v>2.4069451083182885</v>
      </c>
      <c r="L45">
        <v>6.5114481086587386</v>
      </c>
      <c r="M45">
        <v>10.677061982208688</v>
      </c>
      <c r="N45">
        <v>7.6226345680182552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>
      <c r="A46" s="1" t="s">
        <v>90</v>
      </c>
      <c r="B46">
        <v>4.7743783591950004</v>
      </c>
      <c r="C46">
        <v>6.1166276165325737</v>
      </c>
      <c r="D46">
        <v>-1.3470736479666092</v>
      </c>
      <c r="E46">
        <v>4.4788886400768089</v>
      </c>
      <c r="F46">
        <v>2.8903717578961645</v>
      </c>
      <c r="G46">
        <v>-0.33491345215721963</v>
      </c>
      <c r="H46">
        <v>-2.9055549330782076</v>
      </c>
      <c r="I46">
        <v>5.9410480611939649</v>
      </c>
      <c r="J46">
        <v>4.901712886872069</v>
      </c>
      <c r="K46">
        <v>2.3978952727983707</v>
      </c>
      <c r="L46">
        <v>6.5649832402123964</v>
      </c>
      <c r="M46">
        <v>10.820877679853584</v>
      </c>
      <c r="N46">
        <v>7.6303350354845954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>
      <c r="A47" s="1" t="s">
        <v>91</v>
      </c>
      <c r="B47">
        <v>4.6807413728351657</v>
      </c>
      <c r="C47">
        <v>5.8464387750577247</v>
      </c>
      <c r="D47">
        <v>-1.1647520911726548</v>
      </c>
      <c r="E47">
        <v>4.5490582831879234</v>
      </c>
      <c r="F47">
        <v>2.7107133185216936</v>
      </c>
      <c r="G47">
        <v>-0.3262381176568625</v>
      </c>
      <c r="H47">
        <v>-2.8265615219650484</v>
      </c>
      <c r="I47">
        <v>6.0071738408131612</v>
      </c>
      <c r="J47">
        <v>4.9024559945825672</v>
      </c>
      <c r="K47">
        <v>2.388762789235098</v>
      </c>
      <c r="L47">
        <v>6.6287025332284104</v>
      </c>
      <c r="M47">
        <v>10.849861221114018</v>
      </c>
      <c r="N47">
        <v>7.6491496703494279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>
      <c r="A48" s="1" t="s">
        <v>92</v>
      </c>
      <c r="B48">
        <v>4.5945809844341596</v>
      </c>
      <c r="C48">
        <v>5.6252200319607839</v>
      </c>
      <c r="D48">
        <v>-1.1086626245216111</v>
      </c>
      <c r="E48">
        <v>4.5930638659930425</v>
      </c>
      <c r="F48">
        <v>2.5945081597030812</v>
      </c>
      <c r="G48">
        <v>-0.31270362802685414</v>
      </c>
      <c r="H48">
        <v>-2.6987303918553396</v>
      </c>
      <c r="I48">
        <v>6.0278607622992713</v>
      </c>
      <c r="J48">
        <v>4.8951496174885554</v>
      </c>
      <c r="K48">
        <v>2.379546134130174</v>
      </c>
      <c r="L48">
        <v>6.6385677891665207</v>
      </c>
      <c r="M48">
        <v>10.974505940611799</v>
      </c>
      <c r="N48">
        <v>7.6816849025583762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>
      <c r="A49" s="1" t="s">
        <v>93</v>
      </c>
      <c r="B49">
        <v>4.5794762388959454</v>
      </c>
      <c r="C49">
        <v>5.6359792523987675</v>
      </c>
      <c r="D49">
        <v>-1.1270117631898076</v>
      </c>
      <c r="E49">
        <v>4.6217978437579408</v>
      </c>
      <c r="F49">
        <v>2.6858045921548905</v>
      </c>
      <c r="G49">
        <v>-0.28293778882847348</v>
      </c>
      <c r="H49">
        <v>-2.7498554235535333</v>
      </c>
      <c r="I49">
        <v>6.0647614761694388</v>
      </c>
      <c r="J49">
        <v>4.8868844866600805</v>
      </c>
      <c r="K49">
        <v>2.3608540011180215</v>
      </c>
      <c r="L49">
        <v>6.6401372375660976</v>
      </c>
      <c r="M49">
        <v>11.005876035732005</v>
      </c>
      <c r="N49">
        <v>7.713708721858616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>
      <c r="A50" s="1" t="s">
        <v>94</v>
      </c>
      <c r="B50">
        <v>4.5238516648105032</v>
      </c>
      <c r="C50">
        <v>5.4510384535657002</v>
      </c>
      <c r="D50">
        <v>-1.0700248318161971</v>
      </c>
      <c r="E50">
        <v>4.6614559969986828</v>
      </c>
      <c r="F50">
        <v>2.5201129055226197</v>
      </c>
      <c r="G50">
        <v>-0.24777783227257111</v>
      </c>
      <c r="H50">
        <v>-3.0079239363941324</v>
      </c>
      <c r="I50">
        <v>6.1286943006901966</v>
      </c>
      <c r="J50">
        <v>4.9071249177265912</v>
      </c>
      <c r="K50">
        <v>2.3702437414678603</v>
      </c>
      <c r="L50">
        <v>6.7167158315684592</v>
      </c>
      <c r="M50">
        <v>11.08189636473079</v>
      </c>
      <c r="N50">
        <v>7.7675687643258247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>
      <c r="A51" s="1" t="s">
        <v>95</v>
      </c>
      <c r="B51">
        <v>4.5645217875106292</v>
      </c>
      <c r="C51">
        <v>5.4438595277464659</v>
      </c>
      <c r="D51">
        <v>-1.1776554960085626</v>
      </c>
      <c r="E51">
        <v>4.6051368520991893</v>
      </c>
      <c r="F51">
        <v>2.3878449369448691</v>
      </c>
      <c r="G51">
        <v>-0.22602269206505327</v>
      </c>
      <c r="H51">
        <v>-3.2087198310730831</v>
      </c>
      <c r="I51">
        <v>6.1443143812021921</v>
      </c>
      <c r="J51">
        <v>4.9116249437631563</v>
      </c>
      <c r="K51">
        <v>2.3702437414678603</v>
      </c>
      <c r="L51">
        <v>6.8402256221885374</v>
      </c>
      <c r="M51">
        <v>11.049301442688533</v>
      </c>
      <c r="N51">
        <v>7.7929308819555079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>
      <c r="A52" s="1" t="s">
        <v>96</v>
      </c>
      <c r="B52">
        <v>4.5791683834487484</v>
      </c>
      <c r="C52">
        <v>5.2983173665480363</v>
      </c>
      <c r="D52">
        <v>-1.0584304990352777</v>
      </c>
      <c r="E52">
        <v>4.5931988142068718</v>
      </c>
      <c r="F52">
        <v>2.3513752571634776</v>
      </c>
      <c r="G52">
        <v>-0.2165404001806378</v>
      </c>
      <c r="H52">
        <v>-3.4239858984525324</v>
      </c>
      <c r="I52">
        <v>6.1015364467458806</v>
      </c>
      <c r="J52">
        <v>4.9092667997079671</v>
      </c>
      <c r="K52">
        <v>2.379546134130174</v>
      </c>
      <c r="L52">
        <v>6.905051627407822</v>
      </c>
      <c r="M52">
        <v>11.215785473743884</v>
      </c>
      <c r="N52">
        <v>7.8317602226346583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>
      <c r="A53" s="1" t="s">
        <v>97</v>
      </c>
      <c r="B53">
        <v>4.6018647289793648</v>
      </c>
      <c r="C53">
        <v>5.097832042792378</v>
      </c>
      <c r="D53">
        <v>-1.1363141558521213</v>
      </c>
      <c r="E53">
        <v>4.6107877114387943</v>
      </c>
      <c r="F53">
        <v>2.2823823856765264</v>
      </c>
      <c r="G53">
        <v>-0.19950840821677621</v>
      </c>
      <c r="H53">
        <v>-3.4101143085422843</v>
      </c>
      <c r="I53">
        <v>6.0622336179961884</v>
      </c>
      <c r="J53">
        <v>4.9270362702199417</v>
      </c>
      <c r="K53">
        <v>2.388762789235098</v>
      </c>
      <c r="L53">
        <v>6.9411900550683745</v>
      </c>
      <c r="M53">
        <v>11.243764152822445</v>
      </c>
      <c r="N53">
        <v>7.8911849382880064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>
      <c r="A54" s="1" t="s">
        <v>98</v>
      </c>
      <c r="B54">
        <v>4.6185469830330188</v>
      </c>
      <c r="C54">
        <v>5.0260708834076908</v>
      </c>
      <c r="D54">
        <v>-0.9942522733438669</v>
      </c>
      <c r="E54">
        <v>4.6178889583958664</v>
      </c>
      <c r="F54">
        <v>2.9957322735539909</v>
      </c>
      <c r="G54">
        <v>-0.19071669758233739</v>
      </c>
      <c r="H54">
        <v>-3.6524974675021755</v>
      </c>
      <c r="I54">
        <v>6.0837398232171509</v>
      </c>
      <c r="J54">
        <v>4.916690847919714</v>
      </c>
      <c r="K54">
        <v>2.3978952727983707</v>
      </c>
      <c r="L54">
        <v>7.0395727036023237</v>
      </c>
      <c r="M54">
        <v>11.35470317403958</v>
      </c>
      <c r="N54">
        <v>7.878863731681311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>
      <c r="A55" s="1" t="s">
        <v>99</v>
      </c>
      <c r="B55">
        <v>4.6927841591609996</v>
      </c>
      <c r="C55">
        <v>5.404177607322465</v>
      </c>
      <c r="D55">
        <v>-1.3394107752210402</v>
      </c>
      <c r="E55">
        <v>4.5998225796614953</v>
      </c>
      <c r="F55">
        <v>2.4849066497880004</v>
      </c>
      <c r="G55">
        <v>-0.16589717837981319</v>
      </c>
      <c r="H55">
        <v>-3.5081734244941023</v>
      </c>
      <c r="I55">
        <v>6.0920637456640971</v>
      </c>
      <c r="J55">
        <v>4.9222411433336601</v>
      </c>
      <c r="K55">
        <v>2.388762789235098</v>
      </c>
      <c r="L55">
        <v>7.3294873595541734</v>
      </c>
      <c r="M55">
        <v>11.194962863227914</v>
      </c>
      <c r="N55">
        <v>7.9077877580627716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>
      <c r="A56" s="1" t="s">
        <v>100</v>
      </c>
      <c r="B56">
        <v>4.7360814824928479</v>
      </c>
      <c r="C56">
        <v>5.5360212005996123</v>
      </c>
      <c r="D56">
        <v>-1.305636458102436</v>
      </c>
      <c r="E56">
        <v>4.6045032970003872</v>
      </c>
      <c r="F56">
        <v>3.044522437723423</v>
      </c>
      <c r="G56">
        <v>-0.169642279636882</v>
      </c>
      <c r="H56">
        <v>-3.3768233381741579</v>
      </c>
      <c r="I56">
        <v>6.0544393462693709</v>
      </c>
      <c r="J56">
        <v>4.928050469089837</v>
      </c>
      <c r="K56">
        <v>2.388762789235098</v>
      </c>
      <c r="L56">
        <v>7.5150722029368886</v>
      </c>
      <c r="M56">
        <v>11.281522901716324</v>
      </c>
      <c r="N56">
        <v>7.9772751166110121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>
      <c r="A57" s="1" t="s">
        <v>101</v>
      </c>
      <c r="B57">
        <v>4.6775838664971365</v>
      </c>
      <c r="C57">
        <v>5.2557579260422687</v>
      </c>
      <c r="D57">
        <v>-1.1056369036050742</v>
      </c>
      <c r="E57">
        <v>4.5990850423321428</v>
      </c>
      <c r="F57">
        <v>2.7725887222397811</v>
      </c>
      <c r="G57">
        <v>-0.17383764714564481</v>
      </c>
      <c r="H57">
        <v>-3.6550094649373026</v>
      </c>
      <c r="I57">
        <v>6.0274749846310138</v>
      </c>
      <c r="J57">
        <v>4.9348335806799737</v>
      </c>
      <c r="K57">
        <v>2.388762789235098</v>
      </c>
      <c r="L57">
        <v>7.5693085879509034</v>
      </c>
      <c r="M57">
        <v>11.383807177400065</v>
      </c>
      <c r="N57">
        <v>7.8267823028549337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</row>
    <row r="58" spans="1:20">
      <c r="A58" s="1" t="s">
        <v>102</v>
      </c>
      <c r="B58">
        <v>4.6683953450462621</v>
      </c>
      <c r="C58">
        <v>5.1099779386357422</v>
      </c>
      <c r="D58">
        <v>-1.0817551716016869</v>
      </c>
      <c r="E58">
        <v>4.5917133813014814</v>
      </c>
      <c r="F58">
        <v>2.5649493574615367</v>
      </c>
      <c r="G58">
        <v>-0.17217322574213989</v>
      </c>
      <c r="H58">
        <v>-3.6419039258608219</v>
      </c>
      <c r="I58">
        <v>6.0258659738253142</v>
      </c>
      <c r="J58">
        <v>4.920272854015864</v>
      </c>
      <c r="K58">
        <v>2.3702437414678603</v>
      </c>
      <c r="L58">
        <v>7.5410462923887165</v>
      </c>
      <c r="M58">
        <v>11.465991077781014</v>
      </c>
      <c r="N58">
        <v>7.9495855190973206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>
      <c r="A59" s="1" t="s">
        <v>103</v>
      </c>
      <c r="B59">
        <v>4.6924481940951521</v>
      </c>
      <c r="C59">
        <v>5.1099779386357422</v>
      </c>
      <c r="D59">
        <v>-0.99155321637470195</v>
      </c>
      <c r="E59">
        <v>4.6094277762407261</v>
      </c>
      <c r="F59">
        <v>2.5649493574615367</v>
      </c>
      <c r="G59">
        <v>-0.17082786308274114</v>
      </c>
      <c r="H59">
        <v>-3.799309732743454</v>
      </c>
      <c r="I59">
        <v>6.0418407544330472</v>
      </c>
      <c r="J59">
        <v>4.9328899454714028</v>
      </c>
      <c r="K59">
        <v>2.3608540011180215</v>
      </c>
      <c r="L59">
        <v>7.5538632615362964</v>
      </c>
      <c r="M59">
        <v>11.522549009761379</v>
      </c>
      <c r="N59">
        <v>7.986763323995044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>
      <c r="A60" s="1" t="s">
        <v>104</v>
      </c>
      <c r="B60">
        <v>4.701025671631613</v>
      </c>
      <c r="C60">
        <v>4.9199809258281251</v>
      </c>
      <c r="D60">
        <v>-1.0758728016986201</v>
      </c>
      <c r="E60">
        <v>4.6242863031803214</v>
      </c>
      <c r="F60">
        <v>2.7725887222397811</v>
      </c>
      <c r="G60">
        <v>-0.16161737523566383</v>
      </c>
      <c r="H60">
        <v>-4.1351665567423561</v>
      </c>
      <c r="I60">
        <v>5.9889614168898637</v>
      </c>
      <c r="J60">
        <v>4.9341141561885129</v>
      </c>
      <c r="K60">
        <v>2.3513752571634776</v>
      </c>
      <c r="L60">
        <v>7.5655343157042907</v>
      </c>
      <c r="M60">
        <v>11.559284103948245</v>
      </c>
      <c r="N60">
        <v>7.998584017676559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>
      <c r="A61" s="1" t="s">
        <v>105</v>
      </c>
      <c r="B61">
        <v>4.7226865194159302</v>
      </c>
      <c r="C61">
        <v>4.7874917427820458</v>
      </c>
      <c r="D61">
        <v>-0.86988435905999939</v>
      </c>
      <c r="E61">
        <v>4.6010282868207559</v>
      </c>
      <c r="F61">
        <v>2.8903717578961645</v>
      </c>
      <c r="G61">
        <v>-0.14811338546421807</v>
      </c>
      <c r="H61">
        <v>-4.6051701859880909</v>
      </c>
      <c r="I61">
        <v>5.9610053396232736</v>
      </c>
      <c r="J61">
        <v>4.9357680594167039</v>
      </c>
      <c r="K61">
        <v>2.341805806147327</v>
      </c>
      <c r="L61">
        <v>7.4906968922210568</v>
      </c>
      <c r="M61">
        <v>11.661035077093993</v>
      </c>
      <c r="N61">
        <v>8.080478882199797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 spans="1:20">
      <c r="A62" s="1" t="s">
        <v>106</v>
      </c>
      <c r="B62">
        <v>4.7938879102872836</v>
      </c>
      <c r="C62">
        <v>5.1119877883565437</v>
      </c>
      <c r="D62">
        <v>-1.4312917270506265</v>
      </c>
      <c r="E62">
        <v>4.6078333034075687</v>
      </c>
      <c r="F62">
        <v>3.2958368660043291</v>
      </c>
      <c r="G62">
        <v>-0.14676138139540487</v>
      </c>
      <c r="H62">
        <v>-5.1849886812410331</v>
      </c>
      <c r="I62">
        <v>5.9436738832716323</v>
      </c>
      <c r="J62">
        <v>4.866610947234645</v>
      </c>
      <c r="K62">
        <v>2.3223877202902252</v>
      </c>
      <c r="L62">
        <v>7.4396768110428608</v>
      </c>
      <c r="M62">
        <v>11.198488655209628</v>
      </c>
      <c r="N62">
        <v>7.8573222010185919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</row>
    <row r="63" spans="1:20">
      <c r="A63" s="1" t="s">
        <v>107</v>
      </c>
      <c r="B63">
        <v>4.9662653463603155</v>
      </c>
      <c r="C63">
        <v>5.7037824746562009</v>
      </c>
      <c r="D63">
        <v>-1.3432348716594436</v>
      </c>
      <c r="E63">
        <v>4.5711306937645668</v>
      </c>
      <c r="F63">
        <v>2.9957322735539909</v>
      </c>
      <c r="G63">
        <v>-0.12567660808800193</v>
      </c>
      <c r="H63">
        <v>-3.8835000341797062E-3</v>
      </c>
      <c r="I63">
        <v>5.8842504628008321</v>
      </c>
      <c r="J63">
        <v>4.8434781738220734</v>
      </c>
      <c r="K63">
        <v>2.2925347571405443</v>
      </c>
      <c r="L63">
        <v>7.2719121632686248</v>
      </c>
      <c r="M63">
        <v>11.462221470595523</v>
      </c>
      <c r="N63">
        <v>8.0392509470845841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>
      <c r="A64" s="1" t="s">
        <v>108</v>
      </c>
      <c r="B64">
        <v>4.9982252740195747</v>
      </c>
      <c r="C64">
        <v>5.2983173665480363</v>
      </c>
      <c r="D64">
        <v>-1.3470736479666092</v>
      </c>
      <c r="E64">
        <v>4.592253794054864</v>
      </c>
      <c r="F64">
        <v>2.8903717578961645</v>
      </c>
      <c r="G64">
        <v>-0.111676717224623</v>
      </c>
      <c r="H64">
        <v>-4.3754975431659895E-3</v>
      </c>
      <c r="I64">
        <v>5.9746574287916001</v>
      </c>
      <c r="J64">
        <v>4.9166176119901346</v>
      </c>
      <c r="K64">
        <v>2.3125354238472138</v>
      </c>
      <c r="L64">
        <v>7.1231085648212842</v>
      </c>
      <c r="M64">
        <v>11.457444467010713</v>
      </c>
      <c r="N64">
        <v>8.12058871174027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>
      <c r="A65" s="1" t="s">
        <v>109</v>
      </c>
      <c r="B65">
        <v>4.996536369716754</v>
      </c>
      <c r="C65">
        <v>5.1590552992145291</v>
      </c>
      <c r="D65">
        <v>-0.95972028980149116</v>
      </c>
      <c r="E65">
        <v>4.6780798213754062</v>
      </c>
      <c r="F65">
        <v>3.2958368660043291</v>
      </c>
      <c r="G65">
        <v>-6.1024701837774607E-2</v>
      </c>
      <c r="H65">
        <v>-1.5741933925101593E-3</v>
      </c>
      <c r="I65">
        <v>6.0935697700451357</v>
      </c>
      <c r="J65">
        <v>4.9384229599823311</v>
      </c>
      <c r="K65">
        <v>2.3125354238472138</v>
      </c>
      <c r="L65">
        <v>7.118340301048951</v>
      </c>
      <c r="M65">
        <v>11.689446900199377</v>
      </c>
      <c r="N65">
        <v>8.2311284952019079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>
      <c r="A66" s="1" t="s">
        <v>110</v>
      </c>
      <c r="B66">
        <v>5.0062925446621191</v>
      </c>
      <c r="C66">
        <v>5.2678581590633282</v>
      </c>
      <c r="D66">
        <v>-1.155182640156504</v>
      </c>
      <c r="E66">
        <v>4.7604630703941266</v>
      </c>
      <c r="F66">
        <v>3.2188758248682006</v>
      </c>
      <c r="G66">
        <v>-3.97115002362287E-2</v>
      </c>
      <c r="H66">
        <v>-6.3771270279199666</v>
      </c>
      <c r="I66">
        <v>6.2265366692874657</v>
      </c>
      <c r="J66">
        <v>4.913904105136484</v>
      </c>
      <c r="K66">
        <v>2.3125354238472138</v>
      </c>
      <c r="L66">
        <v>7.0306806258194356</v>
      </c>
      <c r="M66">
        <v>11.666796105590167</v>
      </c>
      <c r="N66">
        <v>8.2872490415061026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</row>
    <row r="67" spans="1:20">
      <c r="A67" s="1" t="s">
        <v>111</v>
      </c>
      <c r="B67">
        <v>4.969604944538264</v>
      </c>
      <c r="C67">
        <v>5.1590552992145291</v>
      </c>
      <c r="D67">
        <v>-0.91879386209227365</v>
      </c>
      <c r="E67">
        <v>4.7582917650441718</v>
      </c>
      <c r="F67">
        <v>2.8094026953624978</v>
      </c>
      <c r="G67">
        <v>-8.6211696819065445E-2</v>
      </c>
      <c r="H67">
        <v>-3.9476501830712971</v>
      </c>
      <c r="I67">
        <v>6.3315018498936908</v>
      </c>
      <c r="J67">
        <v>4.9337542497602982</v>
      </c>
      <c r="K67">
        <v>2.3125354238472138</v>
      </c>
      <c r="L67">
        <v>7.0950643772871311</v>
      </c>
      <c r="M67">
        <v>11.750382093731535</v>
      </c>
      <c r="N67">
        <v>8.3657887372570041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  <row r="68" spans="1:20">
      <c r="A68" s="1" t="s">
        <v>112</v>
      </c>
      <c r="B68">
        <v>4.9416424226093039</v>
      </c>
      <c r="C68">
        <v>5.2094861528414214</v>
      </c>
      <c r="D68">
        <v>-1.1907275775759154</v>
      </c>
      <c r="E68">
        <v>4.7621739347977563</v>
      </c>
      <c r="F68">
        <v>2.9444389791664403</v>
      </c>
      <c r="G68">
        <v>-0.10125783207422699</v>
      </c>
      <c r="H68">
        <v>-3.3242363405260273</v>
      </c>
      <c r="I68">
        <v>6.3473892096560105</v>
      </c>
      <c r="J68">
        <v>4.9310869086697879</v>
      </c>
      <c r="K68">
        <v>2.3125354238472138</v>
      </c>
      <c r="L68">
        <v>7.2236603103776575</v>
      </c>
      <c r="M68">
        <v>11.61709627320675</v>
      </c>
      <c r="N68">
        <v>8.3681222635562147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>
      <c r="A69" s="1" t="s">
        <v>113</v>
      </c>
      <c r="B69">
        <v>4.9739713097246643</v>
      </c>
      <c r="C69">
        <v>5.4510384535657002</v>
      </c>
      <c r="D69">
        <v>-1.0023934309275666</v>
      </c>
      <c r="E69">
        <v>4.6634390941120669</v>
      </c>
      <c r="F69">
        <v>2.8507065015037334</v>
      </c>
      <c r="G69">
        <v>-0.12375080743617488</v>
      </c>
      <c r="H69">
        <v>-2.7678002055079842</v>
      </c>
      <c r="I69">
        <v>6.3595738686723777</v>
      </c>
      <c r="J69">
        <v>4.9513098280114409</v>
      </c>
      <c r="K69">
        <v>2.33214389523559</v>
      </c>
      <c r="L69">
        <v>7.167809184316444</v>
      </c>
      <c r="M69">
        <v>11.560018952502311</v>
      </c>
      <c r="N69">
        <v>8.4693004613463962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1:20">
      <c r="A70" s="1" t="s">
        <v>114</v>
      </c>
      <c r="B70">
        <v>4.9023074172106273</v>
      </c>
      <c r="C70">
        <v>5.3752784076841653</v>
      </c>
      <c r="D70">
        <v>-0.66943065394262924</v>
      </c>
      <c r="E70">
        <v>4.6710515551016041</v>
      </c>
      <c r="F70">
        <v>3.202746442938317</v>
      </c>
      <c r="G70">
        <v>-0.12783337150988489</v>
      </c>
      <c r="H70">
        <v>-2.5639498571284531</v>
      </c>
      <c r="I70">
        <v>6.4520489544372257</v>
      </c>
      <c r="J70">
        <v>4.9581483050825339</v>
      </c>
      <c r="K70">
        <v>2.33214389523559</v>
      </c>
      <c r="L70">
        <v>7.1845533348318389</v>
      </c>
      <c r="M70">
        <v>11.695238688396127</v>
      </c>
      <c r="N70">
        <v>8.4185677565969232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</row>
    <row r="71" spans="1:20">
      <c r="A71" s="1" t="s">
        <v>115</v>
      </c>
      <c r="B71">
        <v>4.80352912047967</v>
      </c>
      <c r="C71">
        <v>5.521460917862246</v>
      </c>
      <c r="D71">
        <v>-0.91379385167556781</v>
      </c>
      <c r="E71">
        <v>4.6568134191399295</v>
      </c>
      <c r="F71">
        <v>3.3357695763396999</v>
      </c>
      <c r="G71">
        <v>-0.14041215371674501</v>
      </c>
      <c r="H71">
        <v>-2.5639498571284531</v>
      </c>
      <c r="I71">
        <v>6.39024066706535</v>
      </c>
      <c r="J71">
        <v>4.9652891923293785</v>
      </c>
      <c r="K71">
        <v>2.341805806147327</v>
      </c>
      <c r="L71">
        <v>7.2876974298592154</v>
      </c>
      <c r="M71">
        <v>11.498238132218351</v>
      </c>
      <c r="N71">
        <v>8.238901526175443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>
      <c r="A72" s="1" t="s">
        <v>116</v>
      </c>
      <c r="B72">
        <v>4.8659948042699899</v>
      </c>
      <c r="C72">
        <v>5.6094717951849598</v>
      </c>
      <c r="D72">
        <v>-0.92886951408101515</v>
      </c>
      <c r="E72">
        <v>4.683519152399068</v>
      </c>
      <c r="F72">
        <v>3.1000922888782338</v>
      </c>
      <c r="G72">
        <v>-0.16688137230607669</v>
      </c>
      <c r="H72">
        <v>-2.5639498571284531</v>
      </c>
      <c r="I72">
        <v>6.3261494731550991</v>
      </c>
      <c r="J72">
        <v>4.9698827416092914</v>
      </c>
      <c r="K72">
        <v>2.3223877202902252</v>
      </c>
      <c r="L72">
        <v>7.4255366553141338</v>
      </c>
      <c r="M72">
        <v>11.608571951853351</v>
      </c>
      <c r="N72">
        <v>8.1846867135807617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>
      <c r="A73" s="1" t="s">
        <v>117</v>
      </c>
      <c r="B73">
        <v>4.8520302639196169</v>
      </c>
      <c r="C73">
        <v>5.5568280616995374</v>
      </c>
      <c r="D73">
        <v>-0.8627499649461251</v>
      </c>
      <c r="E73">
        <v>4.6634390941120669</v>
      </c>
      <c r="F73">
        <v>3.0252910757955354</v>
      </c>
      <c r="G73">
        <v>-0.18104237529557432</v>
      </c>
      <c r="H73">
        <v>-2.5652494024705388</v>
      </c>
      <c r="I73">
        <v>6.3171646867472839</v>
      </c>
      <c r="J73">
        <v>4.9623549999210237</v>
      </c>
      <c r="K73">
        <v>2.341805806147327</v>
      </c>
      <c r="L73">
        <v>7.4528663807146778</v>
      </c>
      <c r="M73">
        <v>11.608517423253087</v>
      </c>
      <c r="N73">
        <v>8.253097428770598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1:20">
      <c r="A74" s="1" t="s">
        <v>118</v>
      </c>
      <c r="B74">
        <v>4.8598124043616719</v>
      </c>
      <c r="C74">
        <v>5.4161004022044201</v>
      </c>
      <c r="D74">
        <v>-0.86988435905999939</v>
      </c>
      <c r="E74">
        <v>4.6615505194241988</v>
      </c>
      <c r="F74">
        <v>3.007166651179654</v>
      </c>
      <c r="G74">
        <v>-0.20334092401803011</v>
      </c>
      <c r="H74">
        <v>-2.6408589515618868</v>
      </c>
      <c r="I74">
        <v>6.3099182782265162</v>
      </c>
      <c r="J74">
        <v>4.9938281757798748</v>
      </c>
      <c r="K74">
        <v>2.3223877202902252</v>
      </c>
      <c r="L74">
        <v>7.4433125389673114</v>
      </c>
      <c r="M74">
        <v>11.531570559839068</v>
      </c>
      <c r="N74">
        <v>8.3210104244434184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1:20">
      <c r="A75" s="1" t="s">
        <v>119</v>
      </c>
      <c r="B75">
        <v>4.7947983179644842</v>
      </c>
      <c r="C75">
        <v>5.2983173665480363</v>
      </c>
      <c r="D75">
        <v>-0.77435723598548845</v>
      </c>
      <c r="E75">
        <v>4.6821312271242199</v>
      </c>
      <c r="F75">
        <v>2.8094026953624978</v>
      </c>
      <c r="G75">
        <v>-0.1897087752279723</v>
      </c>
      <c r="H75">
        <v>-2.6592600369327779</v>
      </c>
      <c r="I75">
        <v>6.3044488024219811</v>
      </c>
      <c r="J75">
        <v>5.004415994282339</v>
      </c>
      <c r="K75">
        <v>2.3223877202902252</v>
      </c>
      <c r="L75">
        <v>7.5317667207072203</v>
      </c>
      <c r="M75">
        <v>11.679176919920019</v>
      </c>
      <c r="N75">
        <v>8.4007447384408955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>
      <c r="A76" s="1" t="s">
        <v>120</v>
      </c>
      <c r="B76">
        <v>4.7771888497861488</v>
      </c>
      <c r="C76">
        <v>5.1416635565026603</v>
      </c>
      <c r="D76">
        <v>-0.8416471888783893</v>
      </c>
      <c r="E76">
        <v>4.7032039262594569</v>
      </c>
      <c r="F76">
        <v>2.760009940032921</v>
      </c>
      <c r="G76">
        <v>-0.19212949778504024</v>
      </c>
      <c r="H76">
        <v>-2.7181005369557116</v>
      </c>
      <c r="I76">
        <v>6.3189681137464344</v>
      </c>
      <c r="J76">
        <v>5.0148928843488969</v>
      </c>
      <c r="K76">
        <v>2.33214389523559</v>
      </c>
      <c r="L76">
        <v>7.5174665013000475</v>
      </c>
      <c r="M76">
        <v>11.666204336311452</v>
      </c>
      <c r="N76">
        <v>8.3635873175823221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>
      <c r="A77" s="1" t="s">
        <v>121</v>
      </c>
      <c r="B77">
        <v>4.7742376271036298</v>
      </c>
      <c r="C77">
        <v>5.0304379213924353</v>
      </c>
      <c r="D77">
        <v>-0.80073239123988271</v>
      </c>
      <c r="E77">
        <v>4.7404001352481959</v>
      </c>
      <c r="F77">
        <v>2.5802168295923251</v>
      </c>
      <c r="G77">
        <v>-0.18368248243329607</v>
      </c>
      <c r="H77">
        <v>-2.8302178350764176</v>
      </c>
      <c r="I77">
        <v>6.2653012127377101</v>
      </c>
      <c r="J77">
        <v>5.0252611462915757</v>
      </c>
      <c r="K77">
        <v>2.33214389523559</v>
      </c>
      <c r="L77">
        <v>7.5740450053721995</v>
      </c>
      <c r="M77">
        <v>11.806974723800169</v>
      </c>
      <c r="N77">
        <v>8.4700659602132795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</row>
    <row r="78" spans="1:20">
      <c r="A78" s="1" t="s">
        <v>122</v>
      </c>
      <c r="B78">
        <v>4.7567747701199856</v>
      </c>
      <c r="C78">
        <v>4.8903491282217537</v>
      </c>
      <c r="D78">
        <v>-0.80519668436856817</v>
      </c>
      <c r="E78">
        <v>4.7378637277135569</v>
      </c>
      <c r="F78">
        <v>2.5802168295923251</v>
      </c>
      <c r="G78">
        <v>-0.16735412967216823</v>
      </c>
      <c r="H78">
        <v>-2.84662285096615</v>
      </c>
      <c r="I78">
        <v>6.2672005485413624</v>
      </c>
      <c r="J78">
        <v>5.0355230096040344</v>
      </c>
      <c r="K78">
        <v>2.3125354238472138</v>
      </c>
      <c r="L78">
        <v>7.5914580007140824</v>
      </c>
      <c r="M78">
        <v>11.760613325195436</v>
      </c>
      <c r="N78">
        <v>8.5668116025242202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>
      <c r="A79" s="1" t="s">
        <v>123</v>
      </c>
      <c r="B79">
        <v>4.8081926593060791</v>
      </c>
      <c r="C79">
        <v>4.9767337424205742</v>
      </c>
      <c r="D79">
        <v>-0.86750056770472306</v>
      </c>
      <c r="E79">
        <v>4.7126783937033769</v>
      </c>
      <c r="F79">
        <v>2.5063419305080652</v>
      </c>
      <c r="G79">
        <v>-0.13284591333342913</v>
      </c>
      <c r="H79">
        <v>-2.7257051363409306</v>
      </c>
      <c r="I79">
        <v>6.2897155709089976</v>
      </c>
      <c r="J79">
        <v>5.045680635839056</v>
      </c>
      <c r="K79">
        <v>2.3025850929940459</v>
      </c>
      <c r="L79">
        <v>7.6979384220536771</v>
      </c>
      <c r="M79">
        <v>11.72728656319647</v>
      </c>
      <c r="N79">
        <v>8.6052919733859845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</row>
    <row r="80" spans="1:20">
      <c r="A80" s="1" t="s">
        <v>124</v>
      </c>
      <c r="B80">
        <v>4.8917015966824762</v>
      </c>
      <c r="C80">
        <v>5.0434251169192468</v>
      </c>
      <c r="D80">
        <v>-0.83240924789345294</v>
      </c>
      <c r="E80">
        <v>4.7376885656882362</v>
      </c>
      <c r="F80">
        <v>3.0184717605234805</v>
      </c>
      <c r="G80">
        <v>-0.16369609267078977</v>
      </c>
      <c r="H80">
        <v>-2.6333138549881929</v>
      </c>
      <c r="I80">
        <v>6.2915691395583204</v>
      </c>
      <c r="J80">
        <v>5.0557361213413516</v>
      </c>
      <c r="K80">
        <v>2.3025850929940459</v>
      </c>
      <c r="L80">
        <v>7.72143726117082</v>
      </c>
      <c r="M80">
        <v>11.789162289737268</v>
      </c>
      <c r="N80">
        <v>8.6591232131936628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>
      <c r="A81" s="1" t="s">
        <v>125</v>
      </c>
      <c r="B81">
        <v>4.9115513358723568</v>
      </c>
      <c r="C81">
        <v>5.2832037287379885</v>
      </c>
      <c r="D81">
        <v>-0.89159811928378363</v>
      </c>
      <c r="E81">
        <v>4.7597779042145305</v>
      </c>
      <c r="F81">
        <v>2.9724636466146368</v>
      </c>
      <c r="G81">
        <v>-0.13604884446327598</v>
      </c>
      <c r="H81">
        <v>-2.512318957398338</v>
      </c>
      <c r="I81">
        <v>6.2841341610708019</v>
      </c>
      <c r="J81">
        <v>5.0656914998443341</v>
      </c>
      <c r="K81">
        <v>2.2925347571405443</v>
      </c>
      <c r="L81">
        <v>7.7218360824377106</v>
      </c>
      <c r="M81">
        <v>11.697602578593886</v>
      </c>
      <c r="N81">
        <v>8.6795891934368647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</row>
    <row r="82" spans="1:20">
      <c r="A82" s="1" t="s">
        <v>126</v>
      </c>
      <c r="B82">
        <v>4.8893712066032169</v>
      </c>
      <c r="C82">
        <v>5.2882670306945352</v>
      </c>
      <c r="D82">
        <v>-0.86750056770472306</v>
      </c>
      <c r="E82">
        <v>4.7397884877128522</v>
      </c>
      <c r="F82">
        <v>3.6259396543400624</v>
      </c>
      <c r="G82">
        <v>-0.12488318214669016</v>
      </c>
      <c r="H82">
        <v>-2.4595898418042106</v>
      </c>
      <c r="I82">
        <v>6.3044488024219811</v>
      </c>
      <c r="J82">
        <v>5.0755487449388994</v>
      </c>
      <c r="K82">
        <v>2.2721258855093369</v>
      </c>
      <c r="L82">
        <v>7.6349656648177833</v>
      </c>
      <c r="M82">
        <v>11.777287732100392</v>
      </c>
      <c r="N82">
        <f>8.63263572982787*2.5</f>
        <v>21.581589324569673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</row>
    <row r="83" spans="1:20">
      <c r="A83" s="1" t="s">
        <v>127</v>
      </c>
      <c r="B83" s="14">
        <f>Modelo!$B$2+Modelo!$B$3*B82+Modelo!$B$4*B81+Modelo!$B$5*C83+Modelo!$B$6*H81+Modelo!$B$7*E84+Modelo!$B$8*D82+Modelo!$B$9*G83+Modelo!$B$12*N83+Modelo!$B$13*M83</f>
        <v>4.9838579793778663</v>
      </c>
      <c r="C83">
        <v>5.2882670306945352</v>
      </c>
      <c r="D83">
        <v>-0.86750056770472306</v>
      </c>
      <c r="E83">
        <v>4.7397884877128522</v>
      </c>
      <c r="F83">
        <v>3.6259396543400624</v>
      </c>
      <c r="G83">
        <v>-0.12488318214669016</v>
      </c>
      <c r="H83">
        <v>-2.4595898418042106</v>
      </c>
      <c r="I83">
        <v>6.3044488024219811</v>
      </c>
      <c r="J83">
        <v>5.0755487449388994</v>
      </c>
      <c r="M83">
        <v>11.777287732100392</v>
      </c>
      <c r="N83" s="14">
        <f t="shared" ref="N83:N92" si="0">N82*O84</f>
        <v>22.229037004306765</v>
      </c>
    </row>
    <row r="84" spans="1:20">
      <c r="A84" s="1" t="s">
        <v>128</v>
      </c>
      <c r="B84" s="14">
        <f>Modelo!$B$2+Modelo!$B$3*B83+Modelo!$B$4*B82+Modelo!$B$5*C84+Modelo!$B$6*H82+Modelo!$B$7*E85+Modelo!$B$8*D83+Modelo!$B$9*G84+Modelo!$B$12*N84+Modelo!$B$13*M84</f>
        <v>5.0496447106892539</v>
      </c>
      <c r="C84">
        <v>5.2882670306945352</v>
      </c>
      <c r="D84">
        <v>-0.86750056770472306</v>
      </c>
      <c r="E84">
        <v>4.7397884877128522</v>
      </c>
      <c r="F84">
        <v>3.6259396543400624</v>
      </c>
      <c r="G84">
        <v>-0.12488318214669016</v>
      </c>
      <c r="H84">
        <v>-2.4595898418042106</v>
      </c>
      <c r="I84">
        <v>6.3044488024219811</v>
      </c>
      <c r="J84">
        <v>5.0755487449388994</v>
      </c>
      <c r="M84">
        <v>11.777287732100392</v>
      </c>
      <c r="N84" s="14">
        <f t="shared" si="0"/>
        <v>22.895908114435969</v>
      </c>
      <c r="O84">
        <v>1.03</v>
      </c>
    </row>
    <row r="85" spans="1:20">
      <c r="A85" s="1" t="s">
        <v>129</v>
      </c>
      <c r="B85" s="14">
        <f>Modelo!$B$2+Modelo!$B$3*B84+Modelo!$B$4*B83+Modelo!$B$5*C85+Modelo!$B$6*H83+Modelo!$B$7*E86+Modelo!$B$8*D84+Modelo!$B$9*G85+Modelo!$B$12*N85+Modelo!$B$13*M85</f>
        <v>5.1660645376930621</v>
      </c>
      <c r="C85">
        <v>5.2882670306945352</v>
      </c>
      <c r="D85">
        <v>-0.86750056770472306</v>
      </c>
      <c r="E85">
        <v>4.7397884877128522</v>
      </c>
      <c r="F85">
        <v>3.6259396543400624</v>
      </c>
      <c r="G85">
        <v>-0.12488318214669016</v>
      </c>
      <c r="H85">
        <v>-2.4595898418042106</v>
      </c>
      <c r="I85">
        <v>6.3044488024219811</v>
      </c>
      <c r="J85">
        <v>5.0755487449388994</v>
      </c>
      <c r="M85">
        <v>11.777287732100392</v>
      </c>
      <c r="N85" s="14">
        <f t="shared" si="0"/>
        <v>23.582785357869049</v>
      </c>
      <c r="O85">
        <v>1.03</v>
      </c>
      <c r="S85">
        <f>SP!N82*Modelo!B12</f>
        <v>3.1601921247967373</v>
      </c>
    </row>
    <row r="86" spans="1:20">
      <c r="A86" s="1" t="s">
        <v>130</v>
      </c>
      <c r="B86" s="14">
        <f>Modelo!$B$2+Modelo!$B$3*B85+Modelo!$B$4*B84+Modelo!$B$5*C86+Modelo!$B$6*H84+Modelo!$B$7*E87+Modelo!$B$8*D85+Modelo!$B$9*G86+Modelo!$B$12*N86+Modelo!$B$13*M86</f>
        <v>5.2741187942166885</v>
      </c>
      <c r="C86">
        <v>5.2882670306945352</v>
      </c>
      <c r="D86">
        <v>-0.86750056770472306</v>
      </c>
      <c r="E86">
        <v>4.7397884877128522</v>
      </c>
      <c r="F86">
        <v>3.6259396543400624</v>
      </c>
      <c r="G86">
        <v>-0.12488318214669016</v>
      </c>
      <c r="H86">
        <v>-2.4595898418042106</v>
      </c>
      <c r="I86">
        <v>6.3044488024219811</v>
      </c>
      <c r="J86">
        <v>5.0755487449388994</v>
      </c>
      <c r="M86">
        <v>11.777287732100392</v>
      </c>
      <c r="N86" s="14">
        <f t="shared" si="0"/>
        <v>24.290268918605122</v>
      </c>
      <c r="O86">
        <v>1.03</v>
      </c>
      <c r="S86">
        <f>Modelo!B13*SP!M83</f>
        <v>-1.4630924549588316</v>
      </c>
    </row>
    <row r="87" spans="1:20">
      <c r="A87" s="1" t="s">
        <v>131</v>
      </c>
      <c r="B87" s="14">
        <f>Modelo!$B$2+Modelo!$B$3*B86+Modelo!$B$4*B85+Modelo!$B$5*C87+Modelo!$B$6*H85+Modelo!$B$7*E88+Modelo!$B$8*D86+Modelo!$B$9*G87+Modelo!$B$12*N87+Modelo!$B$13*M87</f>
        <v>5.397828612025906</v>
      </c>
      <c r="C87">
        <v>5.2882670306945352</v>
      </c>
      <c r="D87">
        <v>-0.86750056770472306</v>
      </c>
      <c r="E87">
        <v>4.7397884877128522</v>
      </c>
      <c r="F87">
        <v>3.6259396543400624</v>
      </c>
      <c r="G87">
        <v>-0.12488318214669016</v>
      </c>
      <c r="H87">
        <v>-2.4595898418042106</v>
      </c>
      <c r="I87">
        <v>6.3044488024219811</v>
      </c>
      <c r="J87">
        <v>5.0755487449388994</v>
      </c>
      <c r="M87">
        <v>11.777287732100392</v>
      </c>
      <c r="N87" s="14">
        <f t="shared" si="0"/>
        <v>25.018976986163278</v>
      </c>
      <c r="O87">
        <v>1.03</v>
      </c>
    </row>
    <row r="88" spans="1:20">
      <c r="A88" s="1" t="s">
        <v>132</v>
      </c>
      <c r="B88" s="14">
        <f>Modelo!$B$2+Modelo!$B$3*B87+Modelo!$B$4*B86+Modelo!$B$5*C88+Modelo!$B$6*H86+Modelo!$B$7*E89+Modelo!$B$8*D87+Modelo!$B$9*G88+Modelo!$B$12*N88+Modelo!$B$13*M88</f>
        <v>5.5213381717694485</v>
      </c>
      <c r="C88">
        <v>5.2882670306945352</v>
      </c>
      <c r="D88">
        <v>-0.86750056770472306</v>
      </c>
      <c r="E88">
        <v>4.7397884877128522</v>
      </c>
      <c r="F88">
        <v>3.6259396543400624</v>
      </c>
      <c r="G88">
        <v>-0.12488318214669016</v>
      </c>
      <c r="H88">
        <v>-2.4595898418042106</v>
      </c>
      <c r="I88">
        <v>6.3044488024219811</v>
      </c>
      <c r="J88">
        <v>5.0755487449388994</v>
      </c>
      <c r="M88">
        <v>11.777287732100392</v>
      </c>
      <c r="N88" s="14">
        <f t="shared" si="0"/>
        <v>25.769546295748178</v>
      </c>
      <c r="O88">
        <v>1.03</v>
      </c>
    </row>
    <row r="89" spans="1:20">
      <c r="A89" s="1" t="s">
        <v>133</v>
      </c>
      <c r="B89" s="14">
        <f>Modelo!$B$2+Modelo!$B$3*B88+Modelo!$B$4*B87+Modelo!$B$5*C89+Modelo!$B$6*H87+Modelo!$B$7*E90+Modelo!$B$8*D88+Modelo!$B$9*G89+Modelo!$B$12*N89+Modelo!$B$13*M89</f>
        <v>5.651802522113881</v>
      </c>
      <c r="C89">
        <v>5.2882670306945352</v>
      </c>
      <c r="D89">
        <v>-0.86750056770472306</v>
      </c>
      <c r="E89">
        <v>4.7397884877128522</v>
      </c>
      <c r="F89">
        <v>3.6259396543400624</v>
      </c>
      <c r="G89">
        <v>-0.12488318214669016</v>
      </c>
      <c r="H89">
        <v>-2.4595898418042106</v>
      </c>
      <c r="I89">
        <v>6.3044488024219811</v>
      </c>
      <c r="J89">
        <v>5.0755487449388994</v>
      </c>
      <c r="M89">
        <v>11.777287732100392</v>
      </c>
      <c r="N89" s="14">
        <f t="shared" si="0"/>
        <v>26.542632684620624</v>
      </c>
      <c r="O89">
        <v>1.03</v>
      </c>
    </row>
    <row r="90" spans="1:20">
      <c r="A90" s="1" t="s">
        <v>134</v>
      </c>
      <c r="B90" s="14">
        <f>Modelo!$B$2+Modelo!$B$3*B89+Modelo!$B$4*B88+Modelo!$B$5*C90+Modelo!$B$6*H88+Modelo!$B$7*E91+Modelo!$B$8*D89+Modelo!$B$9*G90+Modelo!$B$12*N90+Modelo!$B$13*M90</f>
        <v>5.784969202857889</v>
      </c>
      <c r="C90">
        <v>5.2882670306945352</v>
      </c>
      <c r="D90">
        <v>-0.86750056770472306</v>
      </c>
      <c r="E90">
        <v>4.7397884877128522</v>
      </c>
      <c r="F90">
        <v>3.6259396543400624</v>
      </c>
      <c r="G90">
        <v>-0.12488318214669016</v>
      </c>
      <c r="H90">
        <v>-2.4595898418042106</v>
      </c>
      <c r="I90">
        <v>6.3044488024219811</v>
      </c>
      <c r="J90">
        <v>5.0755487449388994</v>
      </c>
      <c r="M90">
        <v>11.777287732100392</v>
      </c>
      <c r="N90" s="14">
        <f t="shared" si="0"/>
        <v>27.338911665159245</v>
      </c>
      <c r="O90">
        <v>1.03</v>
      </c>
    </row>
    <row r="91" spans="1:20">
      <c r="A91" s="1" t="s">
        <v>135</v>
      </c>
      <c r="B91" s="14">
        <f>Modelo!$B$2+Modelo!$B$3*B90+Modelo!$B$4*B89+Modelo!$B$5*C91+Modelo!$B$6*H89+Modelo!$B$7*E92+Modelo!$B$8*D90+Modelo!$B$9*G91+Modelo!$B$12*N91+Modelo!$B$13*M91</f>
        <v>5.9229989501957903</v>
      </c>
      <c r="C91">
        <v>5.2882670306945352</v>
      </c>
      <c r="D91">
        <v>-0.86750056770472306</v>
      </c>
      <c r="E91">
        <v>4.7397884877128522</v>
      </c>
      <c r="F91">
        <v>3.6259396543400624</v>
      </c>
      <c r="G91">
        <v>-0.12488318214669016</v>
      </c>
      <c r="H91">
        <v>-2.4595898418042106</v>
      </c>
      <c r="I91">
        <v>6.3044488024219811</v>
      </c>
      <c r="J91">
        <v>5.0755487449388994</v>
      </c>
      <c r="M91">
        <v>11.777287732100392</v>
      </c>
      <c r="N91" s="14">
        <f t="shared" si="0"/>
        <v>28.159079015114024</v>
      </c>
      <c r="O91">
        <v>1.03</v>
      </c>
    </row>
    <row r="92" spans="1:20">
      <c r="A92" s="1" t="s">
        <v>136</v>
      </c>
      <c r="B92" s="14">
        <f>Modelo!$B$2+Modelo!$B$3*B91+Modelo!$B$4*B90+Modelo!$B$5*C92+Modelo!$B$6*H90+Modelo!$B$7*E93+Modelo!$B$8*D91+Modelo!$B$9*G92+Modelo!$B$12*N92+Modelo!$B$13*M92</f>
        <v>6.0648071833861543</v>
      </c>
      <c r="C92">
        <v>5.2882670306945352</v>
      </c>
      <c r="D92">
        <v>-0.86750056770472306</v>
      </c>
      <c r="E92">
        <v>4.7397884877128522</v>
      </c>
      <c r="F92">
        <v>3.6259396543400624</v>
      </c>
      <c r="G92">
        <v>-0.12488318214669016</v>
      </c>
      <c r="H92">
        <v>-2.4595898418042106</v>
      </c>
      <c r="I92">
        <v>6.3044488024219811</v>
      </c>
      <c r="J92">
        <v>5.0755487449388994</v>
      </c>
      <c r="M92">
        <v>11.777287732100392</v>
      </c>
      <c r="N92" s="14">
        <f t="shared" si="0"/>
        <v>29.003851385567444</v>
      </c>
      <c r="O92">
        <v>1.03</v>
      </c>
    </row>
    <row r="93" spans="1:20">
      <c r="A93" s="1" t="s">
        <v>137</v>
      </c>
      <c r="B93" s="14">
        <f>Modelo!$B$2+Modelo!$B$3*B92+Modelo!$B$4*B91+Modelo!$B$5*C93+Modelo!$B$6*H91+Modelo!$B$7*E94+Modelo!$B$8*D92+Modelo!$B$9*G93+Modelo!$B$12*N93+Modelo!$B$13*M93</f>
        <v>6.2111051624283409</v>
      </c>
      <c r="C93">
        <v>5.2882670306945352</v>
      </c>
      <c r="D93">
        <v>-0.86750056770472306</v>
      </c>
      <c r="E93">
        <v>4.7397884877128522</v>
      </c>
      <c r="F93">
        <v>3.6259396543400624</v>
      </c>
      <c r="G93">
        <v>-0.12488318214669016</v>
      </c>
      <c r="H93">
        <v>-2.4595898418042106</v>
      </c>
      <c r="I93">
        <v>6.3044488024219811</v>
      </c>
      <c r="J93">
        <v>5.0755487449388994</v>
      </c>
      <c r="M93">
        <v>11.777287732100392</v>
      </c>
      <c r="N93" s="14">
        <f>N92*O93</f>
        <v>29.873966927134468</v>
      </c>
      <c r="O93">
        <v>1.03</v>
      </c>
    </row>
    <row r="94" spans="1:20">
      <c r="E94">
        <v>4.7397884877128522</v>
      </c>
    </row>
    <row r="95" spans="1:20">
      <c r="A95" s="1" t="s">
        <v>123</v>
      </c>
      <c r="B95">
        <v>4.8081926593060791</v>
      </c>
      <c r="C95">
        <v>4.9767337424205742</v>
      </c>
      <c r="D95">
        <v>-0.86750056770472306</v>
      </c>
      <c r="E95">
        <v>4.7126783937033769</v>
      </c>
      <c r="F95">
        <v>2.5063419305080652</v>
      </c>
      <c r="G95">
        <v>-0.13284591333342913</v>
      </c>
      <c r="H95">
        <v>-2.7257051363409306</v>
      </c>
      <c r="I95">
        <v>6.2897155709089976</v>
      </c>
      <c r="J95">
        <v>5.045680635839056</v>
      </c>
      <c r="K95">
        <v>2.3025850929940459</v>
      </c>
      <c r="L95">
        <v>7.6979384220536771</v>
      </c>
      <c r="M95">
        <v>11.72728656319647</v>
      </c>
      <c r="N95">
        <v>8.6052919733859792</v>
      </c>
    </row>
    <row r="96" spans="1:20">
      <c r="A96" s="1" t="s">
        <v>124</v>
      </c>
      <c r="B96">
        <v>4.8917015966824762</v>
      </c>
      <c r="C96">
        <v>5.0434251169192468</v>
      </c>
      <c r="D96">
        <v>-0.83240924789345294</v>
      </c>
      <c r="E96">
        <v>4.7376885656882362</v>
      </c>
      <c r="F96">
        <v>3.0184717605234805</v>
      </c>
      <c r="G96">
        <v>-0.16369609267078977</v>
      </c>
      <c r="H96">
        <v>-2.6333138549881929</v>
      </c>
      <c r="I96">
        <v>6.2915691395583204</v>
      </c>
      <c r="J96">
        <v>5.0557361213413516</v>
      </c>
      <c r="K96">
        <v>2.3025850929940459</v>
      </c>
      <c r="L96">
        <v>7.72143726117082</v>
      </c>
      <c r="M96">
        <v>11.789162289737268</v>
      </c>
      <c r="N96">
        <v>8.6591232131936628</v>
      </c>
    </row>
    <row r="97" spans="1:15">
      <c r="A97" s="1" t="s">
        <v>125</v>
      </c>
      <c r="B97">
        <v>4.9115513358723568</v>
      </c>
      <c r="C97">
        <v>5.2832037287379885</v>
      </c>
      <c r="D97">
        <v>-0.89159811928378363</v>
      </c>
      <c r="E97">
        <v>4.7597779042145305</v>
      </c>
      <c r="F97">
        <v>2.9724636466146368</v>
      </c>
      <c r="G97">
        <v>-0.13604884446327598</v>
      </c>
      <c r="H97">
        <v>-2.512318957398338</v>
      </c>
      <c r="I97">
        <v>6.2841341610708019</v>
      </c>
      <c r="J97">
        <v>5.0656914998443341</v>
      </c>
      <c r="K97">
        <v>2.2925347571405443</v>
      </c>
      <c r="L97">
        <v>7.7218360824377106</v>
      </c>
      <c r="M97">
        <v>11.697602578593886</v>
      </c>
      <c r="N97">
        <v>8.6795891934368647</v>
      </c>
    </row>
    <row r="98" spans="1:15">
      <c r="A98" s="1" t="s">
        <v>126</v>
      </c>
      <c r="B98">
        <v>4.8893712066032169</v>
      </c>
      <c r="C98">
        <v>5.2882670306945352</v>
      </c>
      <c r="D98">
        <v>-0.86750056770472306</v>
      </c>
      <c r="E98">
        <v>4.7397884877128522</v>
      </c>
      <c r="F98">
        <v>3.6259396543400624</v>
      </c>
      <c r="G98">
        <v>-0.12488318214669016</v>
      </c>
      <c r="H98">
        <v>-2.4595898418042106</v>
      </c>
      <c r="I98">
        <v>6.3044488024219811</v>
      </c>
      <c r="J98">
        <v>5.0755487449388994</v>
      </c>
      <c r="K98">
        <v>2.2721258855093369</v>
      </c>
      <c r="L98">
        <v>7.6349656648177833</v>
      </c>
      <c r="M98">
        <v>11.777287732100392</v>
      </c>
      <c r="N98">
        <f>8.63263572982787*2.5</f>
        <v>21.581589324569673</v>
      </c>
      <c r="O98">
        <v>0.97</v>
      </c>
    </row>
    <row r="99" spans="1:15">
      <c r="A99" s="1" t="s">
        <v>127</v>
      </c>
      <c r="B99" s="14">
        <f>Modelo!$B$2+Modelo!$B$3*B98+Modelo!$B$4*B97+Modelo!$B$5*C99+Modelo!$B$6*H97+Modelo!$B$7*E100+Modelo!$B$8*D98+Modelo!$B$9*G99+Modelo!$B$12*N99+Modelo!$B$13*M99</f>
        <v>4.7942464518900625</v>
      </c>
      <c r="C99">
        <v>5.2882670306945352</v>
      </c>
      <c r="D99">
        <v>-0.86750056770472306</v>
      </c>
      <c r="E99">
        <v>4.7397884877128522</v>
      </c>
      <c r="F99">
        <v>3.6259396543400624</v>
      </c>
      <c r="G99">
        <v>-0.12488318214669016</v>
      </c>
      <c r="H99">
        <v>-2.4595898418042106</v>
      </c>
      <c r="I99">
        <v>6.3044488024219811</v>
      </c>
      <c r="J99">
        <v>5.0755487449388994</v>
      </c>
      <c r="M99">
        <v>11.777287732100392</v>
      </c>
      <c r="N99" s="14">
        <f t="shared" ref="N99:N109" si="1">N98*O100</f>
        <v>20.934141644832582</v>
      </c>
      <c r="O99">
        <v>0.97</v>
      </c>
    </row>
    <row r="100" spans="1:15">
      <c r="A100" s="1" t="s">
        <v>128</v>
      </c>
      <c r="B100" s="14">
        <f>Modelo!$B$2+Modelo!$B$3*B99+Modelo!$B$4*B98+Modelo!$B$5*C100+Modelo!$B$6*H98+Modelo!$B$7*E101+Modelo!$B$8*D99+Modelo!$B$9*G100+Modelo!$B$12*N100+Modelo!$B$13*M100</f>
        <v>4.6880669044616603</v>
      </c>
      <c r="C100">
        <v>5.2882670306945352</v>
      </c>
      <c r="D100">
        <v>-0.86750056770472306</v>
      </c>
      <c r="E100">
        <v>4.7397884877128522</v>
      </c>
      <c r="F100">
        <v>3.6259396543400624</v>
      </c>
      <c r="G100">
        <v>-0.12488318214669016</v>
      </c>
      <c r="H100">
        <v>-2.4595898418042106</v>
      </c>
      <c r="I100">
        <v>6.3044488024219811</v>
      </c>
      <c r="J100">
        <v>5.0755487449388994</v>
      </c>
      <c r="M100">
        <v>11.777287732100392</v>
      </c>
      <c r="N100" s="14">
        <f t="shared" si="1"/>
        <v>20.306117395487604</v>
      </c>
      <c r="O100">
        <v>0.97</v>
      </c>
    </row>
    <row r="101" spans="1:15">
      <c r="A101" s="1" t="s">
        <v>129</v>
      </c>
      <c r="B101" s="14">
        <f>Modelo!$B$2+Modelo!$B$3*B100+Modelo!$B$4*B99+Modelo!$B$5*C101+Modelo!$B$6*H99+Modelo!$B$7*E102+Modelo!$B$8*D100+Modelo!$B$9*G101+Modelo!$B$12*N101+Modelo!$B$13*M101</f>
        <v>4.5866344320531827</v>
      </c>
      <c r="C101">
        <v>5.2882670306945352</v>
      </c>
      <c r="D101">
        <v>-0.86750056770472306</v>
      </c>
      <c r="E101">
        <v>4.7397884877128522</v>
      </c>
      <c r="F101">
        <v>3.6259396543400624</v>
      </c>
      <c r="G101">
        <v>-0.12488318214669016</v>
      </c>
      <c r="H101">
        <v>-2.4595898418042106</v>
      </c>
      <c r="I101">
        <v>6.3044488024219811</v>
      </c>
      <c r="J101">
        <v>5.0755487449388994</v>
      </c>
      <c r="M101">
        <v>11.777287732100392</v>
      </c>
      <c r="N101" s="14">
        <f t="shared" si="1"/>
        <v>19.696933873622974</v>
      </c>
      <c r="O101">
        <v>0.97</v>
      </c>
    </row>
    <row r="102" spans="1:15">
      <c r="A102" s="1" t="s">
        <v>130</v>
      </c>
      <c r="B102" s="14">
        <f>Modelo!$B$2+Modelo!$B$3*B101+Modelo!$B$4*B100+Modelo!$B$5*C102+Modelo!$B$6*H100+Modelo!$B$7*E103+Modelo!$B$8*D101+Modelo!$B$9*G102+Modelo!$B$12*N102+Modelo!$B$13*M102</f>
        <v>4.4848667031178202</v>
      </c>
      <c r="C102">
        <v>5.2882670306945352</v>
      </c>
      <c r="D102">
        <v>-0.86750056770472306</v>
      </c>
      <c r="E102">
        <v>4.7397884877128522</v>
      </c>
      <c r="F102">
        <v>3.6259396543400624</v>
      </c>
      <c r="G102">
        <v>-0.12488318214669016</v>
      </c>
      <c r="H102">
        <v>-2.4595898418042106</v>
      </c>
      <c r="I102">
        <v>6.3044488024219811</v>
      </c>
      <c r="J102">
        <v>5.0755487449388994</v>
      </c>
      <c r="M102">
        <v>11.777287732100392</v>
      </c>
      <c r="N102" s="14">
        <f t="shared" si="1"/>
        <v>19.106025857414284</v>
      </c>
      <c r="O102">
        <v>0.97</v>
      </c>
    </row>
    <row r="103" spans="1:15">
      <c r="A103" s="1" t="s">
        <v>131</v>
      </c>
      <c r="B103" s="14">
        <f>Modelo!$B$2+Modelo!$B$3*B102+Modelo!$B$4*B101+Modelo!$B$5*C103+Modelo!$B$6*H101+Modelo!$B$7*E104+Modelo!$B$8*D102+Modelo!$B$9*G103+Modelo!$B$12*N103+Modelo!$B$13*M103</f>
        <v>4.3868293830968828</v>
      </c>
      <c r="C103">
        <v>5.2882670306945352</v>
      </c>
      <c r="D103">
        <v>-0.86750056770472306</v>
      </c>
      <c r="E103">
        <v>4.7397884877128522</v>
      </c>
      <c r="F103">
        <v>3.6259396543400624</v>
      </c>
      <c r="G103">
        <v>-0.12488318214669016</v>
      </c>
      <c r="H103">
        <v>-2.4595898418042106</v>
      </c>
      <c r="I103">
        <v>6.3044488024219811</v>
      </c>
      <c r="J103">
        <v>5.0755487449388994</v>
      </c>
      <c r="M103">
        <v>11.777287732100392</v>
      </c>
      <c r="N103" s="14">
        <f t="shared" si="1"/>
        <v>18.532845081691857</v>
      </c>
      <c r="O103">
        <v>0.97</v>
      </c>
    </row>
    <row r="104" spans="1:15">
      <c r="A104" s="1" t="s">
        <v>132</v>
      </c>
      <c r="B104" s="14">
        <f>Modelo!$B$2+Modelo!$B$3*B103+Modelo!$B$4*B102+Modelo!$B$5*C104+Modelo!$B$6*H102+Modelo!$B$7*E105+Modelo!$B$8*D103+Modelo!$B$9*G104+Modelo!$B$12*N104+Modelo!$B$13*M104</f>
        <v>4.290884910024932</v>
      </c>
      <c r="C104">
        <v>5.2882670306945352</v>
      </c>
      <c r="D104">
        <v>-0.86750056770472306</v>
      </c>
      <c r="E104">
        <v>4.7397884877128522</v>
      </c>
      <c r="F104">
        <v>3.6259396543400624</v>
      </c>
      <c r="G104">
        <v>-0.12488318214669016</v>
      </c>
      <c r="H104">
        <v>-2.4595898418042106</v>
      </c>
      <c r="I104">
        <v>6.3044488024219811</v>
      </c>
      <c r="J104">
        <v>5.0755487449388994</v>
      </c>
      <c r="M104">
        <v>11.777287732100392</v>
      </c>
      <c r="N104" s="14">
        <f t="shared" si="1"/>
        <v>17.976859729241102</v>
      </c>
      <c r="O104">
        <v>0.97</v>
      </c>
    </row>
    <row r="105" spans="1:15">
      <c r="A105" s="1" t="s">
        <v>133</v>
      </c>
      <c r="B105" s="14">
        <f>Modelo!$B$2+Modelo!$B$3*B104+Modelo!$B$4*B103+Modelo!$B$5*C105+Modelo!$B$6*H103+Modelo!$B$7*E106+Modelo!$B$8*D104+Modelo!$B$9*G105+Modelo!$B$12*N105+Modelo!$B$13*M105</f>
        <v>4.1980551609187575</v>
      </c>
      <c r="C105">
        <v>5.2882670306945352</v>
      </c>
      <c r="D105">
        <v>-0.86750056770472306</v>
      </c>
      <c r="E105">
        <v>4.7397884877128522</v>
      </c>
      <c r="F105">
        <v>3.6259396543400624</v>
      </c>
      <c r="G105">
        <v>-0.12488318214669016</v>
      </c>
      <c r="H105">
        <v>-2.4595898418042106</v>
      </c>
      <c r="I105">
        <v>6.3044488024219811</v>
      </c>
      <c r="J105">
        <v>5.0755487449388994</v>
      </c>
      <c r="M105">
        <v>11.777287732100392</v>
      </c>
      <c r="N105" s="14">
        <f t="shared" si="1"/>
        <v>17.437553937363869</v>
      </c>
      <c r="O105">
        <v>0.97</v>
      </c>
    </row>
    <row r="106" spans="1:15">
      <c r="A106" s="1" t="s">
        <v>134</v>
      </c>
      <c r="B106" s="14">
        <f>Modelo!$B$2+Modelo!$B$3*B105+Modelo!$B$4*B104+Modelo!$B$5*C106+Modelo!$B$6*H104+Modelo!$B$7*E107+Modelo!$B$8*D105+Modelo!$B$9*G106+Modelo!$B$12*N106+Modelo!$B$13*M106</f>
        <v>4.1077911333582886</v>
      </c>
      <c r="C106">
        <v>5.2882670306945352</v>
      </c>
      <c r="D106">
        <v>-0.86750056770472306</v>
      </c>
      <c r="E106">
        <v>4.7397884877128522</v>
      </c>
      <c r="F106">
        <v>3.6259396543400624</v>
      </c>
      <c r="G106">
        <v>-0.12488318214669016</v>
      </c>
      <c r="H106">
        <v>-2.4595898418042106</v>
      </c>
      <c r="I106">
        <v>6.3044488024219811</v>
      </c>
      <c r="J106">
        <v>5.0755487449388994</v>
      </c>
      <c r="M106">
        <v>11.777287732100392</v>
      </c>
      <c r="N106" s="14">
        <f t="shared" si="1"/>
        <v>16.914427319242954</v>
      </c>
      <c r="O106">
        <v>0.97</v>
      </c>
    </row>
    <row r="107" spans="1:15">
      <c r="A107" s="1" t="s">
        <v>135</v>
      </c>
      <c r="B107" s="14">
        <f>Modelo!$B$2+Modelo!$B$3*B106+Modelo!$B$4*B105+Modelo!$B$5*C107+Modelo!$B$6*H105+Modelo!$B$7*E108+Modelo!$B$8*D106+Modelo!$B$9*G107+Modelo!$B$12*N107+Modelo!$B$13*M107</f>
        <v>4.0203103691101241</v>
      </c>
      <c r="C107">
        <v>5.2882670306945352</v>
      </c>
      <c r="D107">
        <v>-0.86750056770472306</v>
      </c>
      <c r="E107">
        <v>4.7397884877128522</v>
      </c>
      <c r="F107">
        <v>3.6259396543400624</v>
      </c>
      <c r="G107">
        <v>-0.12488318214669016</v>
      </c>
      <c r="H107">
        <v>-2.4595898418042106</v>
      </c>
      <c r="I107">
        <v>6.3044488024219811</v>
      </c>
      <c r="J107">
        <v>5.0755487449388994</v>
      </c>
      <c r="M107">
        <v>11.777287732100392</v>
      </c>
      <c r="N107" s="14">
        <f t="shared" si="1"/>
        <v>16.406994499665664</v>
      </c>
      <c r="O107">
        <v>0.97</v>
      </c>
    </row>
    <row r="108" spans="1:15">
      <c r="A108" s="1" t="s">
        <v>136</v>
      </c>
      <c r="B108" s="14">
        <f>Modelo!$B$2+Modelo!$B$3*B107+Modelo!$B$4*B106+Modelo!$B$5*C108+Modelo!$B$6*H106+Modelo!$B$7*E109+Modelo!$B$8*D107+Modelo!$B$9*G108+Modelo!$B$12*N108+Modelo!$B$13*M108</f>
        <v>3.9353960723273214</v>
      </c>
      <c r="C108">
        <v>5.2882670306945352</v>
      </c>
      <c r="D108">
        <v>-0.86750056770472306</v>
      </c>
      <c r="E108">
        <v>4.7397884877128522</v>
      </c>
      <c r="F108">
        <v>3.6259396543400624</v>
      </c>
      <c r="G108">
        <v>-0.12488318214669016</v>
      </c>
      <c r="H108">
        <v>-2.4595898418042106</v>
      </c>
      <c r="I108">
        <v>6.3044488024219811</v>
      </c>
      <c r="J108">
        <v>5.0755487449388994</v>
      </c>
      <c r="M108">
        <v>11.777287732100392</v>
      </c>
      <c r="N108" s="14">
        <f t="shared" si="1"/>
        <v>15.914784664675695</v>
      </c>
      <c r="O108">
        <v>0.97</v>
      </c>
    </row>
    <row r="109" spans="1:15">
      <c r="A109" s="1" t="s">
        <v>137</v>
      </c>
      <c r="B109" s="14">
        <f>Modelo!$B$2+Modelo!$B$3*B108+Modelo!$B$4*B107+Modelo!$B$5*C109+Modelo!$B$6*H107+Modelo!$B$7*E110+Modelo!$B$8*D108+Modelo!$B$9*G109+Modelo!$B$12*N109+Modelo!$B$13*M109</f>
        <v>3.8530521103906312</v>
      </c>
      <c r="C109">
        <v>5.2882670306945352</v>
      </c>
      <c r="D109">
        <v>-0.86750056770472306</v>
      </c>
      <c r="E109">
        <v>4.7397884877128522</v>
      </c>
      <c r="F109">
        <v>3.6259396543400624</v>
      </c>
      <c r="G109">
        <v>-0.12488318214669016</v>
      </c>
      <c r="H109">
        <v>-2.4595898418042106</v>
      </c>
      <c r="I109">
        <v>6.3044488024219811</v>
      </c>
      <c r="J109">
        <v>5.0755487449388994</v>
      </c>
      <c r="M109">
        <v>11.777287732100392</v>
      </c>
      <c r="N109" s="14">
        <f t="shared" si="1"/>
        <v>15.437341124735424</v>
      </c>
      <c r="O109">
        <v>0.97</v>
      </c>
    </row>
    <row r="110" spans="1:15">
      <c r="E110">
        <v>4.7397884877128522</v>
      </c>
      <c r="O110">
        <v>0.97</v>
      </c>
    </row>
    <row r="113" spans="1:14">
      <c r="A113" s="1" t="s">
        <v>123</v>
      </c>
      <c r="B113">
        <v>4.8081926593060791</v>
      </c>
      <c r="C113">
        <v>4.9767337424205742</v>
      </c>
      <c r="D113">
        <v>-0.86750056770472306</v>
      </c>
      <c r="E113">
        <v>4.7126783937033769</v>
      </c>
      <c r="F113">
        <v>2.5063419305080652</v>
      </c>
      <c r="G113">
        <v>-0.13284591333342913</v>
      </c>
      <c r="H113">
        <v>-2.7257051363409306</v>
      </c>
      <c r="I113">
        <v>6.2897155709089976</v>
      </c>
      <c r="J113">
        <v>5.045680635839056</v>
      </c>
      <c r="K113">
        <v>2.3025850929940459</v>
      </c>
      <c r="L113">
        <v>7.6979384220536771</v>
      </c>
      <c r="M113">
        <v>11.72728656319647</v>
      </c>
      <c r="N113">
        <v>8.6052919733859792</v>
      </c>
    </row>
    <row r="114" spans="1:14">
      <c r="A114" s="1" t="s">
        <v>124</v>
      </c>
      <c r="B114">
        <v>4.8917015966824762</v>
      </c>
      <c r="C114">
        <v>5.0434251169192468</v>
      </c>
      <c r="D114">
        <v>-0.83240924789345294</v>
      </c>
      <c r="E114">
        <v>4.7376885656882362</v>
      </c>
      <c r="F114">
        <v>3.0184717605234805</v>
      </c>
      <c r="G114">
        <v>-0.16369609267078977</v>
      </c>
      <c r="H114">
        <v>-2.6333138549881929</v>
      </c>
      <c r="I114">
        <v>6.2915691395583204</v>
      </c>
      <c r="J114">
        <v>5.0557361213413516</v>
      </c>
      <c r="K114">
        <v>2.3025850929940459</v>
      </c>
      <c r="L114">
        <v>7.72143726117082</v>
      </c>
      <c r="M114">
        <v>11.789162289737268</v>
      </c>
      <c r="N114">
        <v>8.6591232131936628</v>
      </c>
    </row>
    <row r="115" spans="1:14">
      <c r="A115" s="1" t="s">
        <v>125</v>
      </c>
      <c r="B115">
        <v>4.9115513358723568</v>
      </c>
      <c r="C115">
        <v>5.2832037287379885</v>
      </c>
      <c r="D115">
        <v>-0.89159811928378363</v>
      </c>
      <c r="E115">
        <v>4.7597779042145305</v>
      </c>
      <c r="F115">
        <v>2.9724636466146368</v>
      </c>
      <c r="G115">
        <v>-0.13604884446327598</v>
      </c>
      <c r="H115">
        <v>-2.512318957398338</v>
      </c>
      <c r="I115">
        <v>6.2841341610708019</v>
      </c>
      <c r="J115">
        <v>5.0656914998443341</v>
      </c>
      <c r="K115">
        <v>2.2925347571405443</v>
      </c>
      <c r="L115">
        <v>7.7218360824377106</v>
      </c>
      <c r="M115">
        <v>11.697602578593886</v>
      </c>
      <c r="N115">
        <v>8.6795891934368647</v>
      </c>
    </row>
    <row r="116" spans="1:14">
      <c r="A116" s="1" t="s">
        <v>126</v>
      </c>
      <c r="B116">
        <v>4.8893712066032169</v>
      </c>
      <c r="C116">
        <v>5.2882670306945352</v>
      </c>
      <c r="D116">
        <v>-0.86750056770472306</v>
      </c>
      <c r="E116">
        <v>4.7397884877128522</v>
      </c>
      <c r="F116">
        <v>3.6259396543400624</v>
      </c>
      <c r="G116">
        <v>-0.12488318214669016</v>
      </c>
      <c r="H116">
        <v>-2.4595898418042106</v>
      </c>
      <c r="I116">
        <v>6.3044488024219811</v>
      </c>
      <c r="J116">
        <v>5.0755487449388994</v>
      </c>
      <c r="K116">
        <v>2.2721258855093369</v>
      </c>
      <c r="L116">
        <v>7.6349656648177833</v>
      </c>
      <c r="M116">
        <v>11.777287732100392</v>
      </c>
      <c r="N116">
        <f>8.63263572982787*2.5</f>
        <v>21.581589324569673</v>
      </c>
    </row>
    <row r="117" spans="1:14">
      <c r="A117" s="1" t="s">
        <v>127</v>
      </c>
      <c r="B117" s="14">
        <f>Modelo!$B$2+Modelo!$B$3*B116+Modelo!$B$4*B115+Modelo!$B$5*C117+Modelo!$B$6*H115+Modelo!$B$7*E118+Modelo!$B$8*D116+Modelo!$B$9*G117+Modelo!$B$12*N117+Modelo!$B$13*M117</f>
        <v>4.8890522156339635</v>
      </c>
      <c r="C117">
        <v>5.2882670306945352</v>
      </c>
      <c r="D117">
        <v>-0.86750056770472306</v>
      </c>
      <c r="E117">
        <v>4.7397884877128522</v>
      </c>
      <c r="F117">
        <v>3.6259396543400624</v>
      </c>
      <c r="G117">
        <v>-0.12488318214669016</v>
      </c>
      <c r="H117">
        <v>-2.4595898418042106</v>
      </c>
      <c r="I117">
        <v>6.3044488024219811</v>
      </c>
      <c r="J117">
        <v>5.0755487449388994</v>
      </c>
      <c r="M117">
        <v>11.777287732100392</v>
      </c>
      <c r="N117">
        <f t="shared" ref="N117:N127" si="2">8.63263572982787*2.5</f>
        <v>21.581589324569673</v>
      </c>
    </row>
    <row r="118" spans="1:14">
      <c r="A118" s="1" t="s">
        <v>128</v>
      </c>
      <c r="B118" s="14">
        <f>Modelo!$B$2+Modelo!$B$3*B117+Modelo!$B$4*B116+Modelo!$B$5*C118+Modelo!$B$6*H116+Modelo!$B$7*E119+Modelo!$B$8*D117+Modelo!$B$9*G118+Modelo!$B$12*N118+Modelo!$B$13*M118</f>
        <v>4.8660116346631384</v>
      </c>
      <c r="C118">
        <v>5.2882670306945352</v>
      </c>
      <c r="D118">
        <v>-0.86750056770472306</v>
      </c>
      <c r="E118">
        <v>4.7397884877128522</v>
      </c>
      <c r="F118">
        <v>3.6259396543400624</v>
      </c>
      <c r="G118">
        <v>-0.12488318214669016</v>
      </c>
      <c r="H118">
        <v>-2.4595898418042106</v>
      </c>
      <c r="I118">
        <v>6.3044488024219811</v>
      </c>
      <c r="J118">
        <v>5.0755487449388994</v>
      </c>
      <c r="M118">
        <v>11.777287732100392</v>
      </c>
      <c r="N118">
        <f t="shared" si="2"/>
        <v>21.581589324569673</v>
      </c>
    </row>
    <row r="119" spans="1:14">
      <c r="A119" s="1" t="s">
        <v>129</v>
      </c>
      <c r="B119" s="14">
        <f>Modelo!$B$2+Modelo!$B$3*B118+Modelo!$B$4*B117+Modelo!$B$5*C119+Modelo!$B$6*H117+Modelo!$B$7*E120+Modelo!$B$8*D118+Modelo!$B$9*G119+Modelo!$B$12*N119+Modelo!$B$13*M119</f>
        <v>4.8680816448673916</v>
      </c>
      <c r="C119">
        <v>5.2882670306945352</v>
      </c>
      <c r="D119">
        <v>-0.86750056770472306</v>
      </c>
      <c r="E119">
        <v>4.7397884877128522</v>
      </c>
      <c r="F119">
        <v>3.6259396543400624</v>
      </c>
      <c r="G119">
        <v>-0.12488318214669016</v>
      </c>
      <c r="H119">
        <v>-2.4595898418042106</v>
      </c>
      <c r="I119">
        <v>6.3044488024219811</v>
      </c>
      <c r="J119">
        <v>5.0755487449388994</v>
      </c>
      <c r="M119">
        <v>11.777287732100392</v>
      </c>
      <c r="N119">
        <f t="shared" si="2"/>
        <v>21.581589324569673</v>
      </c>
    </row>
    <row r="120" spans="1:14">
      <c r="A120" s="1" t="s">
        <v>130</v>
      </c>
      <c r="B120" s="14">
        <f>Modelo!$B$2+Modelo!$B$3*B119+Modelo!$B$4*B118+Modelo!$B$5*C120+Modelo!$B$6*H118+Modelo!$B$7*E121+Modelo!$B$8*D119+Modelo!$B$9*G120+Modelo!$B$12*N120+Modelo!$B$13*M120</f>
        <v>4.8625334570769247</v>
      </c>
      <c r="C120">
        <v>5.2882670306945352</v>
      </c>
      <c r="D120">
        <v>-0.86750056770472306</v>
      </c>
      <c r="E120">
        <v>4.7397884877128522</v>
      </c>
      <c r="F120">
        <v>3.6259396543400624</v>
      </c>
      <c r="G120">
        <v>-0.12488318214669016</v>
      </c>
      <c r="H120">
        <v>-2.4595898418042106</v>
      </c>
      <c r="I120">
        <v>6.3044488024219811</v>
      </c>
      <c r="J120">
        <v>5.0755487449388994</v>
      </c>
      <c r="M120">
        <v>11.777287732100392</v>
      </c>
      <c r="N120">
        <f t="shared" si="2"/>
        <v>21.581589324569673</v>
      </c>
    </row>
    <row r="121" spans="1:14">
      <c r="A121" s="1" t="s">
        <v>131</v>
      </c>
      <c r="B121" s="14">
        <f>Modelo!$B$2+Modelo!$B$3*B120+Modelo!$B$4*B119+Modelo!$B$5*C121+Modelo!$B$6*H119+Modelo!$B$7*E122+Modelo!$B$8*D120+Modelo!$B$9*G121+Modelo!$B$12*N121+Modelo!$B$13*M121</f>
        <v>4.8635309246045821</v>
      </c>
      <c r="C121">
        <v>5.2882670306945352</v>
      </c>
      <c r="D121">
        <v>-0.86750056770472306</v>
      </c>
      <c r="E121">
        <v>4.7397884877128522</v>
      </c>
      <c r="F121">
        <v>3.6259396543400624</v>
      </c>
      <c r="G121">
        <v>-0.12488318214669016</v>
      </c>
      <c r="H121">
        <v>-2.4595898418042106</v>
      </c>
      <c r="I121">
        <v>6.3044488024219811</v>
      </c>
      <c r="J121">
        <v>5.0755487449388994</v>
      </c>
      <c r="M121">
        <v>11.777287732100392</v>
      </c>
      <c r="N121">
        <f t="shared" si="2"/>
        <v>21.581589324569673</v>
      </c>
    </row>
    <row r="122" spans="1:14">
      <c r="A122" s="1" t="s">
        <v>132</v>
      </c>
      <c r="B122" s="14">
        <f>Modelo!$B$2+Modelo!$B$3*B121+Modelo!$B$4*B120+Modelo!$B$5*C122+Modelo!$B$6*H120+Modelo!$B$7*E123+Modelo!$B$8*D121+Modelo!$B$9*G122+Modelo!$B$12*N122+Modelo!$B$13*M122</f>
        <v>4.8621484795064411</v>
      </c>
      <c r="C122">
        <v>5.2882670306945352</v>
      </c>
      <c r="D122">
        <v>-0.86750056770472306</v>
      </c>
      <c r="E122">
        <v>4.7397884877128522</v>
      </c>
      <c r="F122">
        <v>3.6259396543400624</v>
      </c>
      <c r="G122">
        <v>-0.12488318214669016</v>
      </c>
      <c r="H122">
        <v>-2.4595898418042106</v>
      </c>
      <c r="I122">
        <v>6.3044488024219811</v>
      </c>
      <c r="J122">
        <v>5.0755487449388994</v>
      </c>
      <c r="M122">
        <v>11.777287732100392</v>
      </c>
      <c r="N122">
        <f t="shared" si="2"/>
        <v>21.581589324569673</v>
      </c>
    </row>
    <row r="123" spans="1:14">
      <c r="A123" s="1" t="s">
        <v>133</v>
      </c>
      <c r="B123" s="14">
        <f>Modelo!$B$2+Modelo!$B$3*B122+Modelo!$B$4*B121+Modelo!$B$5*C123+Modelo!$B$6*H121+Modelo!$B$7*E124+Modelo!$B$8*D122+Modelo!$B$9*G123+Modelo!$B$12*N123+Modelo!$B$13*M123</f>
        <v>4.8625089811994044</v>
      </c>
      <c r="C123">
        <v>5.2882670306945352</v>
      </c>
      <c r="D123">
        <v>-0.86750056770472306</v>
      </c>
      <c r="E123">
        <v>4.7397884877128522</v>
      </c>
      <c r="F123">
        <v>3.6259396543400624</v>
      </c>
      <c r="G123">
        <v>-0.12488318214669016</v>
      </c>
      <c r="H123">
        <v>-2.4595898418042106</v>
      </c>
      <c r="I123">
        <v>6.3044488024219811</v>
      </c>
      <c r="J123">
        <v>5.0755487449388994</v>
      </c>
      <c r="M123">
        <v>11.777287732100392</v>
      </c>
      <c r="N123">
        <f t="shared" si="2"/>
        <v>21.581589324569673</v>
      </c>
    </row>
    <row r="124" spans="1:14">
      <c r="A124" s="1" t="s">
        <v>134</v>
      </c>
      <c r="B124" s="14">
        <f>Modelo!$B$2+Modelo!$B$3*B123+Modelo!$B$4*B122+Modelo!$B$5*C124+Modelo!$B$6*H122+Modelo!$B$7*E125+Modelo!$B$8*D123+Modelo!$B$9*G124+Modelo!$B$12*N124+Modelo!$B$13*M124</f>
        <v>4.862154097373244</v>
      </c>
      <c r="C124">
        <v>5.2882670306945352</v>
      </c>
      <c r="D124">
        <v>-0.86750056770472306</v>
      </c>
      <c r="E124">
        <v>4.7397884877128522</v>
      </c>
      <c r="F124">
        <v>3.6259396543400624</v>
      </c>
      <c r="G124">
        <v>-0.12488318214669016</v>
      </c>
      <c r="H124">
        <v>-2.4595898418042106</v>
      </c>
      <c r="I124">
        <v>6.3044488024219811</v>
      </c>
      <c r="J124">
        <v>5.0755487449388994</v>
      </c>
      <c r="M124">
        <v>11.777287732100392</v>
      </c>
      <c r="N124">
        <f t="shared" si="2"/>
        <v>21.581589324569673</v>
      </c>
    </row>
    <row r="125" spans="1:14">
      <c r="A125" s="1" t="s">
        <v>135</v>
      </c>
      <c r="B125" s="14">
        <f>Modelo!$B$2+Modelo!$B$3*B124+Modelo!$B$4*B123+Modelo!$B$5*C125+Modelo!$B$6*H123+Modelo!$B$7*E126+Modelo!$B$8*D124+Modelo!$B$9*G125+Modelo!$B$12*N125+Modelo!$B$13*M125</f>
        <v>4.8622709178756196</v>
      </c>
      <c r="C125">
        <v>5.2882670306945352</v>
      </c>
      <c r="D125">
        <v>-0.86750056770472306</v>
      </c>
      <c r="E125">
        <v>4.7397884877128522</v>
      </c>
      <c r="F125">
        <v>3.6259396543400624</v>
      </c>
      <c r="G125">
        <v>-0.12488318214669016</v>
      </c>
      <c r="H125">
        <v>-2.4595898418042106</v>
      </c>
      <c r="I125">
        <v>6.3044488024219811</v>
      </c>
      <c r="J125">
        <v>5.0755487449388994</v>
      </c>
      <c r="M125">
        <v>11.777287732100392</v>
      </c>
      <c r="N125">
        <f t="shared" si="2"/>
        <v>21.581589324569673</v>
      </c>
    </row>
    <row r="126" spans="1:14">
      <c r="A126" s="1" t="s">
        <v>136</v>
      </c>
      <c r="B126" s="14">
        <f>Modelo!$B$2+Modelo!$B$3*B125+Modelo!$B$4*B124+Modelo!$B$5*C126+Modelo!$B$6*H124+Modelo!$B$7*E127+Modelo!$B$8*D125+Modelo!$B$9*G126+Modelo!$B$12*N126+Modelo!$B$13*M126</f>
        <v>4.8621775573631165</v>
      </c>
      <c r="C126">
        <v>5.2882670306945352</v>
      </c>
      <c r="D126">
        <v>-0.86750056770472306</v>
      </c>
      <c r="E126">
        <v>4.7397884877128522</v>
      </c>
      <c r="F126">
        <v>3.6259396543400624</v>
      </c>
      <c r="G126">
        <v>-0.12488318214669016</v>
      </c>
      <c r="H126">
        <v>-2.4595898418042106</v>
      </c>
      <c r="I126">
        <v>6.3044488024219811</v>
      </c>
      <c r="J126">
        <v>5.0755487449388994</v>
      </c>
      <c r="M126">
        <v>11.777287732100392</v>
      </c>
      <c r="N126">
        <f t="shared" si="2"/>
        <v>21.581589324569673</v>
      </c>
    </row>
    <row r="127" spans="1:14">
      <c r="A127" s="1" t="s">
        <v>137</v>
      </c>
      <c r="B127" s="14">
        <f>Modelo!$B$2+Modelo!$B$3*B126+Modelo!$B$4*B125+Modelo!$B$5*C127+Modelo!$B$6*H125+Modelo!$B$7*E128+Modelo!$B$8*D126+Modelo!$B$9*G127+Modelo!$B$12*N127+Modelo!$B$13*M127</f>
        <v>4.8622133992499812</v>
      </c>
      <c r="C127">
        <v>5.2882670306945352</v>
      </c>
      <c r="D127">
        <v>-0.86750056770472306</v>
      </c>
      <c r="E127">
        <v>4.7397884877128522</v>
      </c>
      <c r="F127">
        <v>3.6259396543400624</v>
      </c>
      <c r="G127">
        <v>-0.12488318214669016</v>
      </c>
      <c r="H127">
        <v>-2.4595898418042106</v>
      </c>
      <c r="I127">
        <v>6.3044488024219811</v>
      </c>
      <c r="J127">
        <v>5.0755487449388994</v>
      </c>
      <c r="M127">
        <v>11.777287732100392</v>
      </c>
      <c r="N127">
        <f t="shared" si="2"/>
        <v>21.581589324569673</v>
      </c>
    </row>
    <row r="128" spans="1:14">
      <c r="E128">
        <v>4.7397884877128522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1A98-00D7-491D-98A6-64D6B3338218}">
  <dimension ref="A2:B13"/>
  <sheetViews>
    <sheetView workbookViewId="0">
      <selection activeCell="B2" sqref="B2"/>
    </sheetView>
  </sheetViews>
  <sheetFormatPr defaultRowHeight="14.5"/>
  <cols>
    <col min="8" max="8" width="11.1796875" customWidth="1"/>
  </cols>
  <sheetData>
    <row r="2" spans="1:2">
      <c r="A2" t="s">
        <v>138</v>
      </c>
      <c r="B2">
        <f>2.14104</f>
        <v>2.1410399999999998</v>
      </c>
    </row>
    <row r="3" spans="1:2">
      <c r="A3" t="s">
        <v>139</v>
      </c>
      <c r="B3">
        <f>-0.09306</f>
        <v>-9.3060000000000004E-2</v>
      </c>
    </row>
    <row r="4" spans="1:2">
      <c r="A4" t="s">
        <v>140</v>
      </c>
      <c r="B4">
        <f>0.23244</f>
        <v>0.23244000000000001</v>
      </c>
    </row>
    <row r="5" spans="1:2">
      <c r="A5" t="s">
        <v>141</v>
      </c>
      <c r="B5">
        <f>-0.01232</f>
        <v>-1.2319999999999999E-2</v>
      </c>
    </row>
    <row r="6" spans="1:2">
      <c r="A6" t="s">
        <v>142</v>
      </c>
      <c r="B6">
        <f>-0.33975</f>
        <v>-0.33975</v>
      </c>
    </row>
    <row r="7" spans="1:2">
      <c r="A7" t="s">
        <v>143</v>
      </c>
      <c r="B7">
        <f>-0.08648</f>
        <v>-8.6480000000000001E-2</v>
      </c>
    </row>
    <row r="8" spans="1:2">
      <c r="A8" t="s">
        <v>144</v>
      </c>
      <c r="B8">
        <f>-0.0103</f>
        <v>-1.03E-2</v>
      </c>
    </row>
    <row r="9" spans="1:2">
      <c r="A9" t="s">
        <v>145</v>
      </c>
      <c r="B9">
        <f>0.18554</f>
        <v>0.18554000000000001</v>
      </c>
    </row>
    <row r="10" spans="1:2">
      <c r="A10" t="s">
        <v>27</v>
      </c>
      <c r="B10">
        <f>0.17657</f>
        <v>0.17657</v>
      </c>
    </row>
    <row r="11" spans="1:2">
      <c r="A11" t="s">
        <v>28</v>
      </c>
      <c r="B11">
        <f>0.08289</f>
        <v>8.2890000000000005E-2</v>
      </c>
    </row>
    <row r="12" spans="1:2">
      <c r="A12" t="s">
        <v>146</v>
      </c>
      <c r="B12">
        <f>0.14643</f>
        <v>0.14643</v>
      </c>
    </row>
    <row r="13" spans="1:2">
      <c r="A13" t="s">
        <v>147</v>
      </c>
      <c r="B13">
        <f>-0.12423</f>
        <v>-0.12422999999999999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B18FBEEB8804FAEFA90E889FDD004" ma:contentTypeVersion="4" ma:contentTypeDescription="Crie um novo documento." ma:contentTypeScope="" ma:versionID="14c50292135ba9a713949633ed14a2ee">
  <xsd:schema xmlns:xsd="http://www.w3.org/2001/XMLSchema" xmlns:xs="http://www.w3.org/2001/XMLSchema" xmlns:p="http://schemas.microsoft.com/office/2006/metadata/properties" xmlns:ns2="10bf6aaf-ab91-456a-b129-2be3f1662433" targetNamespace="http://schemas.microsoft.com/office/2006/metadata/properties" ma:root="true" ma:fieldsID="3229fbf6b39b506188fafcadb0cb2399" ns2:_="">
    <xsd:import namespace="10bf6aaf-ab91-456a-b129-2be3f166243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f6aaf-ab91-456a-b129-2be3f166243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0bf6aaf-ab91-456a-b129-2be3f1662433" xsi:nil="true"/>
  </documentManagement>
</p:properties>
</file>

<file path=customXml/itemProps1.xml><?xml version="1.0" encoding="utf-8"?>
<ds:datastoreItem xmlns:ds="http://schemas.openxmlformats.org/officeDocument/2006/customXml" ds:itemID="{6E520EEB-8578-4E71-8C01-D4A15911E14C}"/>
</file>

<file path=customXml/itemProps2.xml><?xml version="1.0" encoding="utf-8"?>
<ds:datastoreItem xmlns:ds="http://schemas.openxmlformats.org/officeDocument/2006/customXml" ds:itemID="{342EB0F9-D05B-458F-A340-8EFF2E48BA38}"/>
</file>

<file path=customXml/itemProps3.xml><?xml version="1.0" encoding="utf-8"?>
<ds:datastoreItem xmlns:ds="http://schemas.openxmlformats.org/officeDocument/2006/customXml" ds:itemID="{737E3991-E666-4FDB-ACD3-CCB9EDB97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Dados1</vt:lpstr>
      <vt:lpstr>IBOV</vt:lpstr>
      <vt:lpstr>SP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Kfoury Muinhos</dc:creator>
  <cp:keywords/>
  <dc:description/>
  <cp:lastModifiedBy>KEVIN PEREIRA LIMA</cp:lastModifiedBy>
  <cp:revision/>
  <dcterms:created xsi:type="dcterms:W3CDTF">2020-11-03T17:00:24Z</dcterms:created>
  <dcterms:modified xsi:type="dcterms:W3CDTF">2025-07-08T00:37:25Z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0x010100DAEB18FBEEB8804FAEFA90E889FDD004</vt:lpwstr>
  </property>
</Properties>
</file>